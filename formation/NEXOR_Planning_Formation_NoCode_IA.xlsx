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 Alegria" sheetId="2" state="visible" r:id="rId2"/>
    <sheet xmlns:r="http://schemas.openxmlformats.org/officeDocument/2006/relationships" name="👦 Théo" sheetId="3" state="visible" r:id="rId3"/>
    <sheet xmlns:r="http://schemas.openxmlformats.org/officeDocument/2006/relationships" name="📅 Weekends" sheetId="4" state="visible" r:id="rId4"/>
    <sheet xmlns:r="http://schemas.openxmlformats.org/officeDocument/2006/relationships" name="🚀 NEXOR Pipeline" sheetId="5" state="visible" r:id="rId5"/>
    <sheet xmlns:r="http://schemas.openxmlformats.org/officeDocument/2006/relationships" name="🤖 Automations n8n" sheetId="6" state="visible" r:id="rId6"/>
  </sheets>
  <definedNames/>
  <calcPr calcId="124519" fullCalcOnLoad="1"/>
</workbook>
</file>

<file path=xl/styles.xml><?xml version="1.0" encoding="utf-8"?>
<styleSheet xmlns="http://schemas.openxmlformats.org/spreadsheetml/2006/main">
  <numFmts count="1">
    <numFmt numFmtId="164" formatCode="#,##0 €"/>
  </numFmts>
  <fonts count="24">
    <font>
      <name val="Calibri"/>
      <family val="2"/>
      <color theme="1"/>
      <sz val="11"/>
      <scheme val="minor"/>
    </font>
    <font>
      <name val="Arial"/>
      <b val="1"/>
      <color rgb="00FFFFFF"/>
      <sz val="13"/>
    </font>
    <font>
      <name val="Arial"/>
      <color rgb="00AAAAAA"/>
      <sz val="9"/>
    </font>
    <font>
      <name val="Arial"/>
      <b val="1"/>
      <color rgb="00CCCCCC"/>
      <sz val="8"/>
    </font>
    <font>
      <name val="Arial"/>
      <b val="1"/>
      <color rgb="00FFFFFF"/>
      <sz val="22"/>
    </font>
    <font>
      <name val="Arial"/>
      <b val="1"/>
      <color rgb="00FFFFFF"/>
      <sz val="9"/>
    </font>
    <font>
      <name val="Arial"/>
      <b val="1"/>
      <color rgb="001A1A2E"/>
      <sz val="8"/>
    </font>
    <font>
      <name val="Arial"/>
      <b val="1"/>
      <color rgb="00FFFFFF"/>
      <sz val="8"/>
    </font>
    <font>
      <name val="Arial"/>
      <b val="1"/>
      <color rgb="001A1A2E"/>
      <sz val="9"/>
    </font>
    <font>
      <name val="Arial"/>
      <color rgb="001A1A2E"/>
      <sz val="9"/>
    </font>
    <font>
      <name val="Arial"/>
      <sz val="9"/>
    </font>
    <font>
      <name val="Arial"/>
      <b val="1"/>
      <sz val="9"/>
    </font>
    <font>
      <name val="Arial"/>
      <color rgb="00CCCCCC"/>
      <sz val="9"/>
    </font>
    <font>
      <name val="Arial"/>
      <b val="1"/>
      <color rgb="00FFFFFF"/>
      <sz val="10"/>
    </font>
    <font>
      <name val="Arial"/>
      <color rgb="00444444"/>
      <sz val="8"/>
    </font>
    <font>
      <name val="Arial"/>
      <color rgb="000D5C63"/>
      <sz val="9"/>
    </font>
    <font>
      <name val="Arial"/>
      <color rgb="001A1A2E"/>
      <sz val="11"/>
    </font>
    <font>
      <name val="Arial"/>
      <b val="1"/>
      <color rgb="000D5C63"/>
      <sz val="9"/>
    </font>
    <font>
      <name val="Arial"/>
      <b val="1"/>
      <color rgb="001D6B3A"/>
      <sz val="9"/>
    </font>
    <font>
      <name val="Arial"/>
      <b val="1"/>
      <color rgb="001D6B3A"/>
      <sz val="11"/>
    </font>
    <font>
      <name val="Arial"/>
      <b val="1"/>
      <sz val="10"/>
    </font>
    <font>
      <name val="Arial"/>
      <b val="1"/>
      <color rgb="00C0392B"/>
      <sz val="9"/>
    </font>
    <font>
      <name val="Arial"/>
      <color rgb="00555555"/>
      <sz val="8"/>
    </font>
    <font>
      <name val="Arial"/>
      <b val="1"/>
      <color rgb="000D6E8C"/>
      <sz val="9"/>
    </font>
  </fonts>
  <fills count="31">
    <fill>
      <patternFill/>
    </fill>
    <fill>
      <patternFill patternType="gray125"/>
    </fill>
    <fill>
      <patternFill patternType="solid">
        <fgColor rgb="001A1A2E"/>
      </patternFill>
    </fill>
    <fill>
      <patternFill patternType="solid">
        <fgColor rgb="005B2D8E"/>
      </patternFill>
    </fill>
    <fill>
      <patternFill patternType="solid">
        <fgColor rgb="000D6E8C"/>
      </patternFill>
    </fill>
    <fill>
      <patternFill patternType="solid">
        <fgColor rgb="00C0392B"/>
      </patternFill>
    </fill>
    <fill>
      <patternFill patternType="solid">
        <fgColor rgb="001D6B3A"/>
      </patternFill>
    </fill>
    <fill>
      <patternFill patternType="solid">
        <fgColor rgb="0016213E"/>
      </patternFill>
    </fill>
    <fill>
      <patternFill patternType="solid">
        <fgColor rgb="000F3460"/>
      </patternFill>
    </fill>
    <fill>
      <patternFill patternType="solid">
        <fgColor rgb="00F8F9FA"/>
      </patternFill>
    </fill>
    <fill>
      <patternFill patternType="solid">
        <fgColor rgb="00333333"/>
      </patternFill>
    </fill>
    <fill>
      <patternFill patternType="solid">
        <fgColor rgb="00888888"/>
      </patternFill>
    </fill>
    <fill>
      <patternFill patternType="solid">
        <fgColor rgb="00F3E5FF"/>
      </patternFill>
    </fill>
    <fill>
      <patternFill patternType="solid">
        <fgColor rgb="00E0F4FA"/>
      </patternFill>
    </fill>
    <fill>
      <patternFill patternType="solid">
        <fgColor rgb="00E6F9EE"/>
      </patternFill>
    </fill>
    <fill>
      <patternFill patternType="solid">
        <fgColor rgb="00F0E6FF"/>
      </patternFill>
    </fill>
    <fill>
      <patternFill patternType="solid">
        <fgColor rgb="00E8F4FD"/>
      </patternFill>
    </fill>
    <fill>
      <patternFill patternType="solid">
        <fgColor rgb="00FFF0F5"/>
      </patternFill>
    </fill>
    <fill>
      <patternFill patternType="solid">
        <fgColor rgb="00E0F7FA"/>
      </patternFill>
    </fill>
    <fill>
      <patternFill patternType="solid">
        <fgColor rgb="00E8F5E9"/>
      </patternFill>
    </fill>
    <fill>
      <patternFill patternType="solid">
        <fgColor rgb="00E3F2FD"/>
      </patternFill>
    </fill>
    <fill>
      <patternFill patternType="solid">
        <fgColor rgb="00D0F0E0"/>
      </patternFill>
    </fill>
    <fill>
      <patternFill patternType="solid">
        <fgColor rgb="00C8E6C9"/>
      </patternFill>
    </fill>
    <fill>
      <patternFill patternType="solid">
        <fgColor rgb="007B0000"/>
      </patternFill>
    </fill>
    <fill>
      <patternFill patternType="solid">
        <fgColor rgb="00FFF5F5"/>
      </patternFill>
    </fill>
    <fill>
      <patternFill patternType="solid">
        <fgColor rgb="00FFFFFF"/>
      </patternFill>
    </fill>
    <fill>
      <patternFill patternType="solid">
        <fgColor rgb="00FFE0E0"/>
      </patternFill>
    </fill>
    <fill>
      <patternFill patternType="solid">
        <fgColor rgb="001D3557"/>
      </patternFill>
    </fill>
    <fill>
      <patternFill patternType="solid">
        <fgColor rgb="00FDECEA"/>
      </patternFill>
    </fill>
    <fill>
      <patternFill patternType="solid">
        <fgColor rgb="00FFF3DC"/>
      </patternFill>
    </fill>
    <fill>
      <patternFill patternType="solid">
        <fgColor rgb="00FFFDE7"/>
      </patternFill>
    </fill>
  </fills>
  <borders count="2">
    <border>
      <left/>
      <right/>
      <top/>
      <bottom/>
      <diagonal/>
    </border>
    <border>
      <left style="thin">
        <color rgb="00DEE2E6"/>
      </left>
      <right style="thin">
        <color rgb="00DEE2E6"/>
      </right>
      <top style="thin">
        <color rgb="00DEE2E6"/>
      </top>
      <bottom style="thin">
        <color rgb="00DEE2E6"/>
      </bottom>
    </border>
  </borders>
  <cellStyleXfs count="1">
    <xf numFmtId="0" fontId="0" fillId="0" borderId="0"/>
  </cellStyleXfs>
  <cellXfs count="15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xf>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3" fillId="5" borderId="0" applyAlignment="1" pivotButton="0" quotePrefix="0" xfId="0">
      <alignment horizontal="center" vertical="center"/>
    </xf>
    <xf numFmtId="0" fontId="3" fillId="6" borderId="0" applyAlignment="1" pivotButton="0" quotePrefix="0" xfId="0">
      <alignment horizontal="center" vertical="center"/>
    </xf>
    <xf numFmtId="0" fontId="4" fillId="3" borderId="0" applyAlignment="1" pivotButton="0" quotePrefix="0" xfId="0">
      <alignment horizontal="center" vertical="bottom"/>
    </xf>
    <xf numFmtId="0" fontId="4" fillId="4" borderId="0" applyAlignment="1" pivotButton="0" quotePrefix="0" xfId="0">
      <alignment horizontal="center" vertical="bottom"/>
    </xf>
    <xf numFmtId="0" fontId="4" fillId="5" borderId="0" applyAlignment="1" pivotButton="0" quotePrefix="0" xfId="0">
      <alignment horizontal="center" vertical="bottom"/>
    </xf>
    <xf numFmtId="0" fontId="4" fillId="6" borderId="0" applyAlignment="1" pivotButton="0" quotePrefix="0" xfId="0">
      <alignment horizontal="center" vertical="bottom"/>
    </xf>
    <xf numFmtId="0" fontId="1" fillId="7" borderId="0" applyAlignment="1" pivotButton="0" quotePrefix="0" xfId="0">
      <alignment horizontal="center" vertical="center"/>
    </xf>
    <xf numFmtId="0" fontId="0" fillId="0" borderId="1" pivotButton="0" quotePrefix="0" xfId="0"/>
    <xf numFmtId="0" fontId="5" fillId="8" borderId="1" applyAlignment="1" pivotButton="0" quotePrefix="0" xfId="0">
      <alignment horizontal="center" vertical="center"/>
    </xf>
    <xf numFmtId="0" fontId="6" fillId="9"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7" fillId="4" borderId="1" applyAlignment="1" pivotButton="0" quotePrefix="0" xfId="0">
      <alignment horizontal="center" vertical="center" wrapText="1"/>
    </xf>
    <xf numFmtId="0" fontId="1" fillId="6" borderId="0" applyAlignment="1" pivotButton="0" quotePrefix="0" xfId="0">
      <alignment horizontal="center" vertical="center"/>
    </xf>
    <xf numFmtId="0" fontId="5" fillId="7" borderId="1" applyAlignment="1" pivotButton="0" quotePrefix="0" xfId="0">
      <alignment horizontal="center" vertical="center"/>
    </xf>
    <xf numFmtId="0" fontId="8" fillId="12" borderId="1" applyAlignment="1" pivotButton="0" quotePrefix="0" xfId="0">
      <alignment horizontal="left" vertical="center"/>
    </xf>
    <xf numFmtId="0" fontId="9" fillId="12" borderId="1" applyAlignment="1" pivotButton="0" quotePrefix="0" xfId="0">
      <alignment horizontal="center" vertical="center"/>
    </xf>
    <xf numFmtId="0" fontId="10" fillId="12" borderId="1" applyAlignment="1" pivotButton="0" quotePrefix="0" xfId="0">
      <alignment horizontal="center"/>
    </xf>
    <xf numFmtId="0" fontId="11" fillId="12" borderId="1" applyAlignment="1" pivotButton="0" quotePrefix="0" xfId="0">
      <alignment horizontal="center"/>
    </xf>
    <xf numFmtId="0" fontId="8" fillId="13" borderId="1" applyAlignment="1" pivotButton="0" quotePrefix="0" xfId="0">
      <alignment horizontal="left" vertical="center"/>
    </xf>
    <xf numFmtId="0" fontId="9" fillId="13" borderId="1" applyAlignment="1" pivotButton="0" quotePrefix="0" xfId="0">
      <alignment horizontal="center" vertical="center"/>
    </xf>
    <xf numFmtId="0" fontId="10" fillId="13" borderId="1" applyAlignment="1" pivotButton="0" quotePrefix="0" xfId="0">
      <alignment horizontal="center"/>
    </xf>
    <xf numFmtId="0" fontId="11" fillId="13" borderId="1" applyAlignment="1" pivotButton="0" quotePrefix="0" xfId="0">
      <alignment horizontal="center"/>
    </xf>
    <xf numFmtId="0" fontId="8" fillId="14" borderId="1" applyAlignment="1" pivotButton="0" quotePrefix="0" xfId="0">
      <alignment horizontal="left" vertical="center"/>
    </xf>
    <xf numFmtId="0" fontId="9" fillId="14" borderId="1" applyAlignment="1" pivotButton="0" quotePrefix="0" xfId="0">
      <alignment horizontal="center" vertical="center"/>
    </xf>
    <xf numFmtId="0" fontId="10" fillId="14" borderId="1" applyAlignment="1" pivotButton="0" quotePrefix="0" xfId="0">
      <alignment horizontal="center"/>
    </xf>
    <xf numFmtId="0" fontId="11" fillId="14" borderId="1" applyAlignment="1" pivotButton="0" quotePrefix="0" xfId="0">
      <alignment horizontal="center"/>
    </xf>
    <xf numFmtId="0" fontId="1" fillId="3" borderId="0" applyAlignment="1" pivotButton="0" quotePrefix="0" xfId="0">
      <alignment horizontal="center" vertical="center"/>
    </xf>
    <xf numFmtId="0" fontId="12" fillId="3" borderId="0" applyAlignment="1" pivotButton="0" quotePrefix="0" xfId="0">
      <alignment horizontal="center"/>
    </xf>
    <xf numFmtId="0" fontId="5" fillId="3" borderId="1" applyAlignment="1" pivotButton="0" quotePrefix="0" xfId="0">
      <alignment horizontal="center" vertical="center"/>
    </xf>
    <xf numFmtId="0" fontId="13" fillId="3" borderId="1" applyAlignment="1" pivotButton="0" quotePrefix="0" xfId="0">
      <alignment horizontal="left" vertical="center"/>
    </xf>
    <xf numFmtId="0" fontId="8" fillId="12" borderId="1" applyAlignment="1" pivotButton="0" quotePrefix="0" xfId="0">
      <alignment horizontal="center" vertical="center"/>
    </xf>
    <xf numFmtId="0" fontId="9" fillId="12" borderId="1" applyAlignment="1" pivotButton="0" quotePrefix="0" xfId="0">
      <alignment horizontal="left" vertical="center" wrapText="1"/>
    </xf>
    <xf numFmtId="0" fontId="14" fillId="12" borderId="1" applyAlignment="1" pivotButton="0" quotePrefix="0" xfId="0">
      <alignment horizontal="left" vertical="center" wrapText="1"/>
    </xf>
    <xf numFmtId="0" fontId="15" fillId="12" borderId="1" applyAlignment="1" pivotButton="0" quotePrefix="0" xfId="0">
      <alignment horizontal="left" vertical="center" wrapText="1"/>
    </xf>
    <xf numFmtId="0" fontId="16" fillId="12" borderId="1" applyAlignment="1" pivotButton="0" quotePrefix="0" xfId="0">
      <alignment horizontal="center" vertical="center"/>
    </xf>
    <xf numFmtId="0" fontId="0" fillId="12" borderId="1" pivotButton="0" quotePrefix="0" xfId="0"/>
    <xf numFmtId="0" fontId="8" fillId="15" borderId="1" applyAlignment="1" pivotButton="0" quotePrefix="0" xfId="0">
      <alignment horizontal="center" vertical="center"/>
    </xf>
    <xf numFmtId="0" fontId="9" fillId="15" borderId="1" applyAlignment="1" pivotButton="0" quotePrefix="0" xfId="0">
      <alignment horizontal="center" vertical="center"/>
    </xf>
    <xf numFmtId="0" fontId="8" fillId="15" borderId="1" applyAlignment="1" pivotButton="0" quotePrefix="0" xfId="0">
      <alignment horizontal="left" vertical="center"/>
    </xf>
    <xf numFmtId="0" fontId="9" fillId="15" borderId="1" applyAlignment="1" pivotButton="0" quotePrefix="0" xfId="0">
      <alignment horizontal="left" vertical="center" wrapText="1"/>
    </xf>
    <xf numFmtId="0" fontId="14" fillId="15" borderId="1" applyAlignment="1" pivotButton="0" quotePrefix="0" xfId="0">
      <alignment horizontal="left" vertical="center" wrapText="1"/>
    </xf>
    <xf numFmtId="0" fontId="15" fillId="15" borderId="1" applyAlignment="1" pivotButton="0" quotePrefix="0" xfId="0">
      <alignment horizontal="left" vertical="center" wrapText="1"/>
    </xf>
    <xf numFmtId="0" fontId="16" fillId="15" borderId="1" applyAlignment="1" pivotButton="0" quotePrefix="0" xfId="0">
      <alignment horizontal="center" vertical="center"/>
    </xf>
    <xf numFmtId="0" fontId="0" fillId="15" borderId="1" pivotButton="0" quotePrefix="0" xfId="0"/>
    <xf numFmtId="0" fontId="8" fillId="16" borderId="1" applyAlignment="1" pivotButton="0" quotePrefix="0" xfId="0">
      <alignment horizontal="center" vertical="center"/>
    </xf>
    <xf numFmtId="0" fontId="9" fillId="16" borderId="1" applyAlignment="1" pivotButton="0" quotePrefix="0" xfId="0">
      <alignment horizontal="center" vertical="center"/>
    </xf>
    <xf numFmtId="0" fontId="8" fillId="16" borderId="1" applyAlignment="1" pivotButton="0" quotePrefix="0" xfId="0">
      <alignment horizontal="left" vertical="center"/>
    </xf>
    <xf numFmtId="0" fontId="9" fillId="16" borderId="1" applyAlignment="1" pivotButton="0" quotePrefix="0" xfId="0">
      <alignment horizontal="left" vertical="center" wrapText="1"/>
    </xf>
    <xf numFmtId="0" fontId="14" fillId="16" borderId="1" applyAlignment="1" pivotButton="0" quotePrefix="0" xfId="0">
      <alignment horizontal="left" vertical="center" wrapText="1"/>
    </xf>
    <xf numFmtId="0" fontId="15" fillId="16" borderId="1" applyAlignment="1" pivotButton="0" quotePrefix="0" xfId="0">
      <alignment horizontal="left" vertical="center" wrapText="1"/>
    </xf>
    <xf numFmtId="0" fontId="16" fillId="16" borderId="1" applyAlignment="1" pivotButton="0" quotePrefix="0" xfId="0">
      <alignment horizontal="center" vertical="center"/>
    </xf>
    <xf numFmtId="0" fontId="0" fillId="16" borderId="1" pivotButton="0" quotePrefix="0" xfId="0"/>
    <xf numFmtId="0" fontId="8" fillId="17" borderId="1" applyAlignment="1" pivotButton="0" quotePrefix="0" xfId="0">
      <alignment horizontal="center" vertical="center"/>
    </xf>
    <xf numFmtId="0" fontId="9" fillId="17" borderId="1" applyAlignment="1" pivotButton="0" quotePrefix="0" xfId="0">
      <alignment horizontal="center" vertical="center"/>
    </xf>
    <xf numFmtId="0" fontId="8" fillId="17" borderId="1" applyAlignment="1" pivotButton="0" quotePrefix="0" xfId="0">
      <alignment horizontal="left" vertical="center"/>
    </xf>
    <xf numFmtId="0" fontId="9" fillId="17" borderId="1" applyAlignment="1" pivotButton="0" quotePrefix="0" xfId="0">
      <alignment horizontal="left" vertical="center" wrapText="1"/>
    </xf>
    <xf numFmtId="0" fontId="14" fillId="17" borderId="1" applyAlignment="1" pivotButton="0" quotePrefix="0" xfId="0">
      <alignment horizontal="left" vertical="center" wrapText="1"/>
    </xf>
    <xf numFmtId="0" fontId="15" fillId="17" borderId="1" applyAlignment="1" pivotButton="0" quotePrefix="0" xfId="0">
      <alignment horizontal="left" vertical="center" wrapText="1"/>
    </xf>
    <xf numFmtId="0" fontId="16" fillId="17" borderId="1" applyAlignment="1" pivotButton="0" quotePrefix="0" xfId="0">
      <alignment horizontal="center" vertical="center"/>
    </xf>
    <xf numFmtId="0" fontId="0" fillId="17" borderId="1" pivotButton="0" quotePrefix="0" xfId="0"/>
    <xf numFmtId="0" fontId="1" fillId="4" borderId="0" applyAlignment="1" pivotButton="0" quotePrefix="0" xfId="0">
      <alignment horizontal="center" vertical="center"/>
    </xf>
    <xf numFmtId="0" fontId="12" fillId="4" borderId="0" applyAlignment="1" pivotButton="0" quotePrefix="0" xfId="0">
      <alignment horizontal="center"/>
    </xf>
    <xf numFmtId="0" fontId="5" fillId="4" borderId="1" applyAlignment="1" pivotButton="0" quotePrefix="0" xfId="0">
      <alignment horizontal="center" vertical="center"/>
    </xf>
    <xf numFmtId="0" fontId="13" fillId="4" borderId="1" applyAlignment="1" pivotButton="0" quotePrefix="0" xfId="0">
      <alignment horizontal="left" vertical="center"/>
    </xf>
    <xf numFmtId="0" fontId="8" fillId="13" borderId="1" applyAlignment="1" pivotButton="0" quotePrefix="0" xfId="0">
      <alignment horizontal="center" vertical="center"/>
    </xf>
    <xf numFmtId="0" fontId="9" fillId="13" borderId="1" applyAlignment="1" pivotButton="0" quotePrefix="0" xfId="0">
      <alignment horizontal="left" vertical="center" wrapText="1"/>
    </xf>
    <xf numFmtId="0" fontId="14" fillId="13" borderId="1" applyAlignment="1" pivotButton="0" quotePrefix="0" xfId="0">
      <alignment horizontal="left" vertical="center" wrapText="1"/>
    </xf>
    <xf numFmtId="0" fontId="17" fillId="13" borderId="1" applyAlignment="1" pivotButton="0" quotePrefix="0" xfId="0">
      <alignment horizontal="left" vertical="center" wrapText="1"/>
    </xf>
    <xf numFmtId="0" fontId="16" fillId="13" borderId="1" applyAlignment="1" pivotButton="0" quotePrefix="0" xfId="0">
      <alignment horizontal="center" vertical="center"/>
    </xf>
    <xf numFmtId="0" fontId="0" fillId="13" borderId="1" pivotButton="0" quotePrefix="0" xfId="0"/>
    <xf numFmtId="0" fontId="8" fillId="18" borderId="1" applyAlignment="1" pivotButton="0" quotePrefix="0" xfId="0">
      <alignment horizontal="center" vertical="center"/>
    </xf>
    <xf numFmtId="0" fontId="9" fillId="18" borderId="1" applyAlignment="1" pivotButton="0" quotePrefix="0" xfId="0">
      <alignment horizontal="center" vertical="center"/>
    </xf>
    <xf numFmtId="0" fontId="8" fillId="18" borderId="1" applyAlignment="1" pivotButton="0" quotePrefix="0" xfId="0">
      <alignment horizontal="left" vertical="center"/>
    </xf>
    <xf numFmtId="0" fontId="9" fillId="18" borderId="1" applyAlignment="1" pivotButton="0" quotePrefix="0" xfId="0">
      <alignment horizontal="left" vertical="center" wrapText="1"/>
    </xf>
    <xf numFmtId="0" fontId="14" fillId="18" borderId="1" applyAlignment="1" pivotButton="0" quotePrefix="0" xfId="0">
      <alignment horizontal="left" vertical="center" wrapText="1"/>
    </xf>
    <xf numFmtId="0" fontId="17" fillId="18" borderId="1" applyAlignment="1" pivotButton="0" quotePrefix="0" xfId="0">
      <alignment horizontal="left" vertical="center" wrapText="1"/>
    </xf>
    <xf numFmtId="0" fontId="16" fillId="18" borderId="1" applyAlignment="1" pivotButton="0" quotePrefix="0" xfId="0">
      <alignment horizontal="center" vertical="center"/>
    </xf>
    <xf numFmtId="0" fontId="0" fillId="18" borderId="1" pivotButton="0" quotePrefix="0" xfId="0"/>
    <xf numFmtId="0" fontId="8" fillId="19" borderId="1" applyAlignment="1" pivotButton="0" quotePrefix="0" xfId="0">
      <alignment horizontal="center" vertical="center"/>
    </xf>
    <xf numFmtId="0" fontId="9" fillId="19" borderId="1" applyAlignment="1" pivotButton="0" quotePrefix="0" xfId="0">
      <alignment horizontal="center" vertical="center"/>
    </xf>
    <xf numFmtId="0" fontId="8" fillId="19" borderId="1" applyAlignment="1" pivotButton="0" quotePrefix="0" xfId="0">
      <alignment horizontal="left" vertical="center"/>
    </xf>
    <xf numFmtId="0" fontId="9" fillId="19" borderId="1" applyAlignment="1" pivotButton="0" quotePrefix="0" xfId="0">
      <alignment horizontal="left" vertical="center" wrapText="1"/>
    </xf>
    <xf numFmtId="0" fontId="14" fillId="19" borderId="1" applyAlignment="1" pivotButton="0" quotePrefix="0" xfId="0">
      <alignment horizontal="left" vertical="center" wrapText="1"/>
    </xf>
    <xf numFmtId="0" fontId="17" fillId="19" borderId="1" applyAlignment="1" pivotButton="0" quotePrefix="0" xfId="0">
      <alignment horizontal="left" vertical="center" wrapText="1"/>
    </xf>
    <xf numFmtId="0" fontId="16" fillId="19" borderId="1" applyAlignment="1" pivotButton="0" quotePrefix="0" xfId="0">
      <alignment horizontal="center" vertical="center"/>
    </xf>
    <xf numFmtId="0" fontId="0" fillId="19" borderId="1" pivotButton="0" quotePrefix="0" xfId="0"/>
    <xf numFmtId="0" fontId="8" fillId="20" borderId="1" applyAlignment="1" pivotButton="0" quotePrefix="0" xfId="0">
      <alignment horizontal="center" vertical="center"/>
    </xf>
    <xf numFmtId="0" fontId="9" fillId="20" borderId="1" applyAlignment="1" pivotButton="0" quotePrefix="0" xfId="0">
      <alignment horizontal="center" vertical="center"/>
    </xf>
    <xf numFmtId="0" fontId="8" fillId="20" borderId="1" applyAlignment="1" pivotButton="0" quotePrefix="0" xfId="0">
      <alignment horizontal="left" vertical="center"/>
    </xf>
    <xf numFmtId="0" fontId="9" fillId="20" borderId="1" applyAlignment="1" pivotButton="0" quotePrefix="0" xfId="0">
      <alignment horizontal="left" vertical="center" wrapText="1"/>
    </xf>
    <xf numFmtId="0" fontId="14" fillId="20" borderId="1" applyAlignment="1" pivotButton="0" quotePrefix="0" xfId="0">
      <alignment horizontal="left" vertical="center" wrapText="1"/>
    </xf>
    <xf numFmtId="0" fontId="17" fillId="20" borderId="1" applyAlignment="1" pivotButton="0" quotePrefix="0" xfId="0">
      <alignment horizontal="left" vertical="center" wrapText="1"/>
    </xf>
    <xf numFmtId="0" fontId="16" fillId="20" borderId="1" applyAlignment="1" pivotButton="0" quotePrefix="0" xfId="0">
      <alignment horizontal="center" vertical="center"/>
    </xf>
    <xf numFmtId="0" fontId="0" fillId="20" borderId="1" pivotButton="0" quotePrefix="0" xfId="0"/>
    <xf numFmtId="0" fontId="5" fillId="6" borderId="1" applyAlignment="1" pivotButton="0" quotePrefix="0" xfId="0">
      <alignment horizontal="center" vertical="center"/>
    </xf>
    <xf numFmtId="0" fontId="8" fillId="21" borderId="1" applyAlignment="1" pivotButton="0" quotePrefix="0" xfId="0">
      <alignment horizontal="center" vertical="center"/>
    </xf>
    <xf numFmtId="0" fontId="9" fillId="21" borderId="1" applyAlignment="1" pivotButton="0" quotePrefix="0" xfId="0">
      <alignment horizontal="center" vertical="center"/>
    </xf>
    <xf numFmtId="0" fontId="18" fillId="19" borderId="1" applyAlignment="1" pivotButton="0" quotePrefix="0" xfId="0">
      <alignment horizontal="center" vertical="center"/>
    </xf>
    <xf numFmtId="0" fontId="9" fillId="21" borderId="1" applyAlignment="1" pivotButton="0" quotePrefix="0" xfId="0">
      <alignment horizontal="left" vertical="center" wrapText="1"/>
    </xf>
    <xf numFmtId="0" fontId="16" fillId="21" borderId="1" applyAlignment="1" pivotButton="0" quotePrefix="0" xfId="0">
      <alignment horizontal="center" vertical="center"/>
    </xf>
    <xf numFmtId="0" fontId="0" fillId="21" borderId="1" pivotButton="0" quotePrefix="0" xfId="0"/>
    <xf numFmtId="0" fontId="8" fillId="14" borderId="1" applyAlignment="1" pivotButton="0" quotePrefix="0" xfId="0">
      <alignment horizontal="center" vertical="center"/>
    </xf>
    <xf numFmtId="0" fontId="18" fillId="22" borderId="1" applyAlignment="1" pivotButton="0" quotePrefix="0" xfId="0">
      <alignment horizontal="center" vertical="center"/>
    </xf>
    <xf numFmtId="0" fontId="9" fillId="14" borderId="1" applyAlignment="1" pivotButton="0" quotePrefix="0" xfId="0">
      <alignment horizontal="left" vertical="center" wrapText="1"/>
    </xf>
    <xf numFmtId="0" fontId="16" fillId="14" borderId="1" applyAlignment="1" pivotButton="0" quotePrefix="0" xfId="0">
      <alignment horizontal="center" vertical="center"/>
    </xf>
    <xf numFmtId="0" fontId="0" fillId="14" borderId="1" pivotButton="0" quotePrefix="0" xfId="0"/>
    <xf numFmtId="0" fontId="13" fillId="6" borderId="0" pivotButton="0" quotePrefix="0" xfId="0"/>
    <xf numFmtId="0" fontId="19" fillId="0" borderId="0" pivotButton="0" quotePrefix="0" xfId="0"/>
    <xf numFmtId="0" fontId="1" fillId="5" borderId="0" applyAlignment="1" pivotButton="0" quotePrefix="0" xfId="0">
      <alignment horizontal="center" vertical="center"/>
    </xf>
    <xf numFmtId="0" fontId="13" fillId="5" borderId="0" applyAlignment="1" pivotButton="0" quotePrefix="0" xfId="0">
      <alignment horizontal="left" vertical="center"/>
    </xf>
    <xf numFmtId="0" fontId="5" fillId="23" borderId="1" applyAlignment="1" pivotButton="0" quotePrefix="0" xfId="0">
      <alignment horizontal="center" vertical="center"/>
    </xf>
    <xf numFmtId="0" fontId="0" fillId="24" borderId="1" pivotButton="0" quotePrefix="0" xfId="0"/>
    <xf numFmtId="164" fontId="10" fillId="24" borderId="1" pivotButton="0" quotePrefix="0" xfId="0"/>
    <xf numFmtId="0" fontId="0" fillId="25" borderId="1" pivotButton="0" quotePrefix="0" xfId="0"/>
    <xf numFmtId="164" fontId="10" fillId="25" borderId="1" pivotButton="0" quotePrefix="0" xfId="0"/>
    <xf numFmtId="0" fontId="20" fillId="26" borderId="0" pivotButton="0" quotePrefix="0" xfId="0"/>
    <xf numFmtId="164" fontId="20" fillId="26" borderId="0" pivotButton="0" quotePrefix="0" xfId="0"/>
    <xf numFmtId="0" fontId="8" fillId="24" borderId="1" applyAlignment="1" pivotButton="0" quotePrefix="0" xfId="0">
      <alignment horizontal="left" vertical="center"/>
    </xf>
    <xf numFmtId="164" fontId="10" fillId="24" borderId="1" applyAlignment="1" pivotButton="0" quotePrefix="0" xfId="0">
      <alignment horizontal="center" vertical="center"/>
    </xf>
    <xf numFmtId="164" fontId="21" fillId="24" borderId="1" applyAlignment="1" pivotButton="0" quotePrefix="0" xfId="0">
      <alignment horizontal="center" vertical="center"/>
    </xf>
    <xf numFmtId="0" fontId="8" fillId="25" borderId="1" applyAlignment="1" pivotButton="0" quotePrefix="0" xfId="0">
      <alignment horizontal="left" vertical="center"/>
    </xf>
    <xf numFmtId="164" fontId="10" fillId="25" borderId="1" applyAlignment="1" pivotButton="0" quotePrefix="0" xfId="0">
      <alignment horizontal="center" vertical="center"/>
    </xf>
    <xf numFmtId="164" fontId="21" fillId="25" borderId="1" applyAlignment="1" pivotButton="0" quotePrefix="0" xfId="0">
      <alignment horizontal="center" vertical="center"/>
    </xf>
    <xf numFmtId="0" fontId="1" fillId="27" borderId="0" applyAlignment="1" pivotButton="0" quotePrefix="0" xfId="0">
      <alignment horizontal="center" vertical="center"/>
    </xf>
    <xf numFmtId="0" fontId="5" fillId="27" borderId="1" applyAlignment="1" pivotButton="0" quotePrefix="0" xfId="0">
      <alignment horizontal="center" vertical="center"/>
    </xf>
    <xf numFmtId="0" fontId="8" fillId="28" borderId="1" applyAlignment="1" pivotButton="0" quotePrefix="0" xfId="0">
      <alignment horizontal="center" vertical="center"/>
    </xf>
    <xf numFmtId="0" fontId="8" fillId="28" borderId="1" applyAlignment="1" pivotButton="0" quotePrefix="0" xfId="0">
      <alignment horizontal="left" vertical="center"/>
    </xf>
    <xf numFmtId="0" fontId="9" fillId="28" borderId="1" applyAlignment="1" pivotButton="0" quotePrefix="0" xfId="0">
      <alignment horizontal="center" vertical="center"/>
    </xf>
    <xf numFmtId="0" fontId="9" fillId="28" borderId="1" applyAlignment="1" pivotButton="0" quotePrefix="0" xfId="0">
      <alignment horizontal="left" vertical="center" wrapText="1"/>
    </xf>
    <xf numFmtId="0" fontId="22" fillId="28" borderId="1" applyAlignment="1" pivotButton="0" quotePrefix="0" xfId="0">
      <alignment horizontal="left" vertical="center"/>
    </xf>
    <xf numFmtId="0" fontId="16" fillId="28" borderId="1" applyAlignment="1" pivotButton="0" quotePrefix="0" xfId="0">
      <alignment horizontal="center" vertical="center"/>
    </xf>
    <xf numFmtId="0" fontId="23" fillId="28" borderId="1" applyAlignment="1" pivotButton="0" quotePrefix="0" xfId="0">
      <alignment horizontal="center" vertical="center"/>
    </xf>
    <xf numFmtId="0" fontId="8" fillId="29" borderId="1" applyAlignment="1" pivotButton="0" quotePrefix="0" xfId="0">
      <alignment horizontal="center" vertical="center"/>
    </xf>
    <xf numFmtId="0" fontId="8" fillId="29" borderId="1" applyAlignment="1" pivotButton="0" quotePrefix="0" xfId="0">
      <alignment horizontal="left" vertical="center"/>
    </xf>
    <xf numFmtId="0" fontId="9" fillId="29" borderId="1" applyAlignment="1" pivotButton="0" quotePrefix="0" xfId="0">
      <alignment horizontal="center" vertical="center"/>
    </xf>
    <xf numFmtId="0" fontId="9" fillId="29" borderId="1" applyAlignment="1" pivotButton="0" quotePrefix="0" xfId="0">
      <alignment horizontal="left" vertical="center" wrapText="1"/>
    </xf>
    <xf numFmtId="0" fontId="22" fillId="29" borderId="1" applyAlignment="1" pivotButton="0" quotePrefix="0" xfId="0">
      <alignment horizontal="left" vertical="center"/>
    </xf>
    <xf numFmtId="0" fontId="16" fillId="29" borderId="1" applyAlignment="1" pivotButton="0" quotePrefix="0" xfId="0">
      <alignment horizontal="center" vertical="center"/>
    </xf>
    <xf numFmtId="0" fontId="23" fillId="29" borderId="1" applyAlignment="1" pivotButton="0" quotePrefix="0" xfId="0">
      <alignment horizontal="center" vertical="center"/>
    </xf>
    <xf numFmtId="0" fontId="8" fillId="30" borderId="1" applyAlignment="1" pivotButton="0" quotePrefix="0" xfId="0">
      <alignment horizontal="center" vertical="center"/>
    </xf>
    <xf numFmtId="0" fontId="8" fillId="30" borderId="1" applyAlignment="1" pivotButton="0" quotePrefix="0" xfId="0">
      <alignment horizontal="left" vertical="center"/>
    </xf>
    <xf numFmtId="0" fontId="9" fillId="30" borderId="1" applyAlignment="1" pivotButton="0" quotePrefix="0" xfId="0">
      <alignment horizontal="center" vertical="center"/>
    </xf>
    <xf numFmtId="0" fontId="9" fillId="30" borderId="1" applyAlignment="1" pivotButton="0" quotePrefix="0" xfId="0">
      <alignment horizontal="left" vertical="center" wrapText="1"/>
    </xf>
    <xf numFmtId="0" fontId="22" fillId="30" borderId="1" applyAlignment="1" pivotButton="0" quotePrefix="0" xfId="0">
      <alignment horizontal="left" vertical="center"/>
    </xf>
    <xf numFmtId="0" fontId="16" fillId="30" borderId="1" applyAlignment="1" pivotButton="0" quotePrefix="0" xfId="0">
      <alignment horizontal="center" vertical="center"/>
    </xf>
    <xf numFmtId="0" fontId="23" fillId="30" borderId="1" applyAlignment="1" pivotButton="0" quotePrefix="0" xfId="0">
      <alignment horizontal="center" vertical="center"/>
    </xf>
    <xf numFmtId="0" fontId="22" fillId="19" borderId="1" applyAlignment="1" pivotButton="0" quotePrefix="0" xfId="0">
      <alignment horizontal="left" vertical="center"/>
    </xf>
    <xf numFmtId="0" fontId="23" fillId="19" borderId="1" applyAlignment="1" pivotButton="0" quotePrefix="0" xfId="0">
      <alignment horizontal="center" vertical="center"/>
    </xf>
  </cellXfs>
  <cellStyles count="1">
    <cellStyle name="Normal" xfId="0" builtinId="0" hidden="0"/>
  </cellStyles>
  <dxfs count="2">
    <dxf>
      <fill>
        <patternFill patternType="solid">
          <fgColor rgb="00D5F5E3"/>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
  <sheetViews>
    <sheetView showGridLines="0" workbookViewId="0">
      <selection activeCell="A1" sqref="A1"/>
    </sheetView>
  </sheetViews>
  <sheetFormatPr baseColWidth="8" defaultRowHeight="15"/>
  <cols>
    <col width="16" customWidth="1" min="1" max="1"/>
    <col width="20" customWidth="1" min="2" max="2"/>
    <col width="12" customWidth="1" min="3" max="3"/>
    <col width="10" customWidth="1" min="4" max="4"/>
    <col width="22" customWidth="1" min="5" max="5"/>
    <col width="35" customWidth="1" min="6" max="6"/>
    <col width="14" customWidth="1" min="7" max="7"/>
    <col width="14" customWidth="1" min="8" max="8"/>
  </cols>
  <sheetData>
    <row r="1" ht="32" customHeight="1">
      <c r="A1" s="1" t="inlineStr">
        <is>
          <t>🚀  NEXOR ADVISORY — Plan Formation NoCode + IA  ·  Romaric O.</t>
        </is>
      </c>
    </row>
    <row r="2" ht="16" customHeight="1">
      <c r="A2" s="2" t="inlineStr">
        <is>
          <t>Alegria : 6h-8h (2h/j)  ·  Théo : 20h-23h (3h/j)  ·  Weekends : 8h-12h &amp; 19h-23h  ·  Démarrage : 12 mai 2026</t>
        </is>
      </c>
    </row>
    <row r="3" ht="22" customHeight="1">
      <c r="A3" s="3" t="inlineStr">
        <is>
          <t>Sessions Alegria</t>
        </is>
      </c>
      <c r="E3" s="4" t="inlineStr">
        <is>
          <t>Sessions Théo</t>
        </is>
      </c>
      <c r="I3" s="5" t="inlineStr">
        <is>
          <t>Jours Restants</t>
        </is>
      </c>
      <c r="M3" s="6" t="inlineStr">
        <is>
          <t>Contrats NEXOR</t>
        </is>
      </c>
    </row>
    <row r="4" ht="22" customHeight="1">
      <c r="A4" s="7">
        <f>COUNTIF('👧 Alegria'!H:H,"✓")</f>
        <v/>
      </c>
      <c r="E4" s="8">
        <f>COUNTIF('👦 Théo'!H:H,"✓")</f>
        <v/>
      </c>
      <c r="I4" s="9">
        <f>MAX(0,30-INT((TODAY()-DATE(2026,5,12))))</f>
        <v/>
      </c>
      <c r="M4" s="10">
        <f>COUNTIF('🚀 NEXOR Pipeline'!E:E,"Signé")</f>
        <v/>
      </c>
    </row>
    <row r="5" ht="22" customHeight="1"/>
    <row r="6" ht="22" customHeight="1"/>
    <row r="7" ht="14" customHeight="1"/>
    <row r="8" ht="32" customHeight="1">
      <c r="A8" s="11" t="inlineStr">
        <is>
          <t>📅  PLANNING HEBDOMADAIRE FIXE</t>
        </is>
      </c>
    </row>
    <row r="9" ht="22" customHeight="1">
      <c r="A9" s="12" t="n"/>
      <c r="B9" s="13" t="inlineStr">
        <is>
          <t>Lundi</t>
        </is>
      </c>
      <c r="C9" s="13" t="inlineStr">
        <is>
          <t>Mardi</t>
        </is>
      </c>
      <c r="D9" s="13" t="inlineStr">
        <is>
          <t>Mercredi</t>
        </is>
      </c>
      <c r="E9" s="13" t="inlineStr">
        <is>
          <t>Jeudi</t>
        </is>
      </c>
      <c r="F9" s="13" t="inlineStr">
        <is>
          <t>Vendredi</t>
        </is>
      </c>
      <c r="G9" s="13" t="inlineStr">
        <is>
          <t>Samedi</t>
        </is>
      </c>
      <c r="H9" s="13" t="inlineStr">
        <is>
          <t>Dimanche</t>
        </is>
      </c>
    </row>
    <row r="10" ht="44" customHeight="1">
      <c r="A10" s="14" t="inlineStr">
        <is>
          <t>6h00 – 6h30</t>
        </is>
      </c>
      <c r="B10" s="15" t="inlineStr">
        <is>
          <t>🏃 Sport</t>
        </is>
      </c>
      <c r="C10" s="15" t="inlineStr">
        <is>
          <t>🏃 Sport</t>
        </is>
      </c>
      <c r="D10" s="15" t="inlineStr">
        <is>
          <t>🏃 Sport</t>
        </is>
      </c>
      <c r="E10" s="15" t="inlineStr">
        <is>
          <t>🏃 Sport</t>
        </is>
      </c>
      <c r="F10" s="15" t="inlineStr">
        <is>
          <t>🏃 Sport</t>
        </is>
      </c>
      <c r="G10" s="15" t="inlineStr">
        <is>
          <t>─</t>
        </is>
      </c>
      <c r="H10" s="15" t="inlineStr">
        <is>
          <t>─</t>
        </is>
      </c>
    </row>
    <row r="11" ht="44" customHeight="1">
      <c r="A11" s="14" t="inlineStr">
        <is>
          <t>6h30 – 8h00</t>
        </is>
      </c>
      <c r="B11" s="16" t="inlineStr">
        <is>
          <t>👧 ALEGRIA
NoCode/IA</t>
        </is>
      </c>
      <c r="C11" s="16" t="inlineStr">
        <is>
          <t>👧 ALEGRIA
NoCode/IA</t>
        </is>
      </c>
      <c r="D11" s="16" t="inlineStr">
        <is>
          <t>👧 ALEGRIA
NoCode/IA</t>
        </is>
      </c>
      <c r="E11" s="16" t="inlineStr">
        <is>
          <t>👧 ALEGRIA
NoCode/IA</t>
        </is>
      </c>
      <c r="F11" s="16" t="inlineStr">
        <is>
          <t>👧 ALEGRIA
NoCode/IA</t>
        </is>
      </c>
      <c r="G11" s="16" t="inlineStr">
        <is>
          <t>─</t>
        </is>
      </c>
      <c r="H11" s="16" t="inlineStr">
        <is>
          <t>─</t>
        </is>
      </c>
    </row>
    <row r="12" ht="44" customHeight="1">
      <c r="A12" s="14" t="inlineStr">
        <is>
          <t>8h00 – 19h00</t>
        </is>
      </c>
      <c r="B12" s="17" t="inlineStr">
        <is>
          <t>Consulting
NEXOR/ORNET</t>
        </is>
      </c>
      <c r="C12" s="17" t="inlineStr">
        <is>
          <t>Consulting
NEXOR/ORNET</t>
        </is>
      </c>
      <c r="D12" s="17" t="inlineStr">
        <is>
          <t>Consulting
NEXOR/ORNET</t>
        </is>
      </c>
      <c r="E12" s="17" t="inlineStr">
        <is>
          <t>Consulting
NEXOR/ORNET</t>
        </is>
      </c>
      <c r="F12" s="17" t="inlineStr">
        <is>
          <t>Consulting
NEXOR/ORNET</t>
        </is>
      </c>
      <c r="G12" s="17" t="inlineStr">
        <is>
          <t>8h-12h
🚀 NEXOR
Prospection+Build</t>
        </is>
      </c>
      <c r="H12" s="17" t="inlineStr">
        <is>
          <t>8h-12h
🔧 Deep Work
NoCode perso</t>
        </is>
      </c>
    </row>
    <row r="13" ht="44" customHeight="1">
      <c r="A13" s="14" t="inlineStr">
        <is>
          <t>19h00 – 20h00</t>
        </is>
      </c>
      <c r="B13" s="18" t="inlineStr">
        <is>
          <t>Repas
+ transition</t>
        </is>
      </c>
      <c r="C13" s="18" t="inlineStr">
        <is>
          <t>Repas
+ transition</t>
        </is>
      </c>
      <c r="D13" s="18" t="inlineStr">
        <is>
          <t>Repas
+ transition</t>
        </is>
      </c>
      <c r="E13" s="18" t="inlineStr">
        <is>
          <t>Repas
+ transition</t>
        </is>
      </c>
      <c r="F13" s="18" t="inlineStr">
        <is>
          <t>Repas
+ transition</t>
        </is>
      </c>
      <c r="G13" s="18" t="inlineStr">
        <is>
          <t>12h-19h
Famille / Repos</t>
        </is>
      </c>
      <c r="H13" s="18" t="inlineStr">
        <is>
          <t>12h-19h
Famille / Repos</t>
        </is>
      </c>
    </row>
    <row r="14" ht="44" customHeight="1">
      <c r="A14" s="14" t="inlineStr">
        <is>
          <t>20h00 – 23h00</t>
        </is>
      </c>
      <c r="B14" s="19" t="inlineStr">
        <is>
          <t>👦 THÉO
NoCode/IA</t>
        </is>
      </c>
      <c r="C14" s="19" t="inlineStr">
        <is>
          <t>👦 THÉO
NoCode/IA</t>
        </is>
      </c>
      <c r="D14" s="19" t="inlineStr">
        <is>
          <t>👦 THÉO
NoCode/IA</t>
        </is>
      </c>
      <c r="E14" s="19" t="inlineStr">
        <is>
          <t>👦 THÉO
NoCode/IA</t>
        </is>
      </c>
      <c r="F14" s="19" t="inlineStr">
        <is>
          <t>👦 THÉO
NoCode/IA</t>
        </is>
      </c>
      <c r="G14" s="19" t="inlineStr">
        <is>
          <t>19h-23h
🚀 NEXOR
Build+Contenu</t>
        </is>
      </c>
      <c r="H14" s="19" t="inlineStr">
        <is>
          <t>19h-23h
🔧 WifiAudit
+ Bilan</t>
        </is>
      </c>
    </row>
    <row r="15" ht="14" customHeight="1"/>
    <row r="16" ht="32" customHeight="1">
      <c r="A16" s="20" t="inlineStr">
        <is>
          <t>📈  PROGRESSION GLOBALE</t>
        </is>
      </c>
    </row>
    <row r="17" ht="22" customHeight="1">
      <c r="A17" s="21" t="inlineStr">
        <is>
          <t>Personne</t>
        </is>
      </c>
      <c r="B17" s="21" t="inlineStr">
        <is>
          <t>Sessions planifiées</t>
        </is>
      </c>
      <c r="C17" s="21" t="inlineStr">
        <is>
          <t>Réalisées</t>
        </is>
      </c>
      <c r="D17" s="21" t="inlineStr">
        <is>
          <t>Taux %</t>
        </is>
      </c>
      <c r="E17" s="21" t="inlineStr">
        <is>
          <t>Semaine en cours</t>
        </is>
      </c>
      <c r="F17" s="21" t="inlineStr">
        <is>
          <t>Prochain objectif</t>
        </is>
      </c>
    </row>
    <row r="18" ht="22" customHeight="1">
      <c r="A18" s="22" t="inlineStr">
        <is>
          <t>👧 Alegria</t>
        </is>
      </c>
      <c r="B18" s="23" t="n">
        <v>20</v>
      </c>
      <c r="C18" s="24">
        <f>COUNTIF('👧 Alegria'!H:H,"✓")</f>
        <v/>
      </c>
      <c r="D18" s="25">
        <f>IFERROR(ROUND(C18/B18*100,0)&amp;"%","0%")</f>
        <v/>
      </c>
      <c r="E18" s="12" t="n"/>
      <c r="F18" s="12" t="n"/>
    </row>
    <row r="19" ht="22" customHeight="1">
      <c r="A19" s="26" t="inlineStr">
        <is>
          <t>👦 Théo</t>
        </is>
      </c>
      <c r="B19" s="27" t="n">
        <v>20</v>
      </c>
      <c r="C19" s="28">
        <f>COUNTIF('👦 Théo'!H:H,"✓")</f>
        <v/>
      </c>
      <c r="D19" s="29">
        <f>IFERROR(ROUND(C19/B19*100,0)&amp;"%","0%")</f>
        <v/>
      </c>
      <c r="E19" s="12" t="n"/>
      <c r="F19" s="12" t="n"/>
    </row>
    <row r="20" ht="22" customHeight="1">
      <c r="A20" s="30" t="inlineStr">
        <is>
          <t>🚀 Romaric Weekend</t>
        </is>
      </c>
      <c r="B20" s="31" t="n">
        <v>8</v>
      </c>
      <c r="C20" s="32">
        <f>COUNTIF('📅 Weekends'!E:E,"✓")</f>
        <v/>
      </c>
      <c r="D20" s="33">
        <f>IFERROR(ROUND(C20/B20*100,0)&amp;"%","0%")</f>
        <v/>
      </c>
      <c r="E20" s="12" t="n"/>
      <c r="F20" s="12" t="n"/>
    </row>
  </sheetData>
  <mergeCells count="12">
    <mergeCell ref="A1:P1"/>
    <mergeCell ref="A8:P8"/>
    <mergeCell ref="M3:O3"/>
    <mergeCell ref="A4:C6"/>
    <mergeCell ref="M4:O6"/>
    <mergeCell ref="A16:P16"/>
    <mergeCell ref="A3:C3"/>
    <mergeCell ref="E3:G3"/>
    <mergeCell ref="I3:K3"/>
    <mergeCell ref="E4:G6"/>
    <mergeCell ref="I4:K6"/>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5" customWidth="1" min="1" max="1"/>
    <col width="10" customWidth="1" min="2" max="2"/>
    <col width="8" customWidth="1" min="3" max="3"/>
    <col width="18" customWidth="1" min="4" max="4"/>
    <col width="35" customWidth="1" min="5" max="5"/>
    <col width="32" customWidth="1" min="6" max="6"/>
    <col width="28" customWidth="1" min="7" max="7"/>
    <col width="8" customWidth="1" min="8" max="8"/>
    <col width="9" customWidth="1" min="9" max="9"/>
    <col width="10" customWidth="1" min="10" max="10"/>
    <col width="8" customWidth="1" min="11" max="11"/>
    <col width="20" customWidth="1" min="12" max="12"/>
  </cols>
  <sheetData>
    <row r="1" ht="32" customHeight="1">
      <c r="A1" s="34" t="inlineStr">
        <is>
          <t>👧  ALEGRIA — Formation NoCode + IA  ·  6h00 – 8h00  (2h/session)</t>
        </is>
      </c>
    </row>
    <row r="2" ht="16" customHeight="1">
      <c r="A2" s="35" t="inlineStr">
        <is>
          <t>Niveau : Débutante  ·  Durée : 4 semaines  ·  Outils : n8n → Claude API → Make → Bubble.io</t>
        </is>
      </c>
    </row>
    <row r="3" ht="22" customHeight="1">
      <c r="A3" s="36" t="inlineStr">
        <is>
          <t>S#</t>
        </is>
      </c>
      <c r="B3" s="36" t="inlineStr">
        <is>
          <t>Date</t>
        </is>
      </c>
      <c r="C3" s="36" t="inlineStr">
        <is>
          <t>Jour</t>
        </is>
      </c>
      <c r="D3" s="36" t="inlineStr">
        <is>
          <t>Thème / Outil</t>
        </is>
      </c>
      <c r="E3" s="36" t="inlineStr">
        <is>
          <t>Objectif de la session</t>
        </is>
      </c>
      <c r="F3" s="36" t="inlineStr">
        <is>
          <t>Contenu détaillé (étapes)</t>
        </is>
      </c>
      <c r="G3" s="36" t="inlineStr">
        <is>
          <t>Livrable attendu</t>
        </is>
      </c>
      <c r="H3" s="36" t="inlineStr">
        <is>
          <t>✅</t>
        </is>
      </c>
      <c r="I3" s="36" t="inlineStr">
        <is>
          <t>Score</t>
        </is>
      </c>
      <c r="J3" s="36" t="inlineStr">
        <is>
          <t>Durée</t>
        </is>
      </c>
      <c r="K3" s="36" t="inlineStr">
        <is>
          <t>Bloc</t>
        </is>
      </c>
      <c r="L3" s="36" t="inlineStr">
        <is>
          <t>Notes</t>
        </is>
      </c>
    </row>
    <row r="4" ht="24" customHeight="1">
      <c r="A4" s="37" t="inlineStr">
        <is>
          <t xml:space="preserve">  ━━━  SEMAINE 1 — n8n Fondations (Débutante → Autonome sur l'automatisation basique)  ━━━</t>
        </is>
      </c>
      <c r="B4" s="12" t="n"/>
      <c r="C4" s="12" t="n"/>
      <c r="D4" s="12" t="n"/>
      <c r="E4" s="12" t="n"/>
      <c r="F4" s="12" t="n"/>
      <c r="G4" s="12" t="n"/>
      <c r="H4" s="12" t="n"/>
      <c r="I4" s="12" t="n"/>
      <c r="J4" s="12" t="n"/>
      <c r="K4" s="12" t="n"/>
      <c r="L4" s="12" t="n"/>
    </row>
    <row r="5" ht="55" customHeight="1">
      <c r="A5" s="38" t="n">
        <v>1</v>
      </c>
      <c r="B5" s="23" t="inlineStr">
        <is>
          <t>12/05</t>
        </is>
      </c>
      <c r="C5" s="23" t="inlineStr">
        <is>
          <t>Lun</t>
        </is>
      </c>
      <c r="D5" s="22" t="inlineStr">
        <is>
          <t>n8n — Interface &amp; 1er workflow</t>
        </is>
      </c>
      <c r="E5" s="39" t="inlineStr">
        <is>
          <t>Comprendre l'interface n8n, créer un 1er workflow fonctionnel</t>
        </is>
      </c>
      <c r="F5" s="40" t="inlineStr">
        <is>
          <t>1. Ouvrir n8n (10.30.20.2)
2. Découvrir : Canvas, nodes, connexions
3. Créer un trigger Manuel
4. Ajouter un node Email ou Telegram
5. Exécuter et voir le résultat</t>
        </is>
      </c>
      <c r="G5" s="41" t="inlineStr">
        <is>
          <t>Workflow 'Bonjour monde' qui envoie un message</t>
        </is>
      </c>
      <c r="H5" s="42" t="inlineStr">
        <is>
          <t>✗</t>
        </is>
      </c>
      <c r="I5" s="23" t="inlineStr">
        <is>
          <t>─</t>
        </is>
      </c>
      <c r="J5" s="23" t="inlineStr">
        <is>
          <t>2h</t>
        </is>
      </c>
      <c r="K5" s="23" t="inlineStr">
        <is>
          <t>6h-8h</t>
        </is>
      </c>
      <c r="L5" s="43" t="n"/>
    </row>
    <row r="6" ht="55" customHeight="1">
      <c r="A6" s="38" t="n">
        <v>1</v>
      </c>
      <c r="B6" s="23" t="inlineStr">
        <is>
          <t>13/05</t>
        </is>
      </c>
      <c r="C6" s="23" t="inlineStr">
        <is>
          <t>Mar</t>
        </is>
      </c>
      <c r="D6" s="22" t="inlineStr">
        <is>
          <t>n8n — Scheduler &amp; automatisation</t>
        </is>
      </c>
      <c r="E6" s="39" t="inlineStr">
        <is>
          <t>Déclencher automatiquement un workflow à heure fixe</t>
        </is>
      </c>
      <c r="F6" s="40" t="inlineStr">
        <is>
          <t>1. Node Scheduler : configurer 6h45 chaque matin
2. Node Set : définir un message variable
3. Node IF : condition simple (jour de semaine ?)
4. Envoyer un message différent selon le jour
5. Tester en changeant l'heure</t>
        </is>
      </c>
      <c r="G6" s="41" t="inlineStr">
        <is>
          <t>Workflow 'Bon matin' automatique chaque jour à 6h45</t>
        </is>
      </c>
      <c r="H6" s="42" t="inlineStr">
        <is>
          <t>✗</t>
        </is>
      </c>
      <c r="I6" s="23" t="inlineStr">
        <is>
          <t>─</t>
        </is>
      </c>
      <c r="J6" s="23" t="inlineStr">
        <is>
          <t>2h</t>
        </is>
      </c>
      <c r="K6" s="23" t="inlineStr">
        <is>
          <t>6h-8h</t>
        </is>
      </c>
      <c r="L6" s="43" t="n"/>
    </row>
    <row r="7" ht="55" customHeight="1">
      <c r="A7" s="38" t="n">
        <v>1</v>
      </c>
      <c r="B7" s="23" t="inlineStr">
        <is>
          <t>14/05</t>
        </is>
      </c>
      <c r="C7" s="23" t="inlineStr">
        <is>
          <t>Mer</t>
        </is>
      </c>
      <c r="D7" s="22" t="inlineStr">
        <is>
          <t>n8n — HTTP Request &amp; APIs</t>
        </is>
      </c>
      <c r="E7" s="39" t="inlineStr">
        <is>
          <t>Appeler une API externe et utiliser les données</t>
        </is>
      </c>
      <c r="F7" s="40" t="inlineStr">
        <is>
          <t>1. C'est quoi une API ? (explication simple)
2. Node HTTP Request : méthode GET
3. Appeler API météo (wttr.in) : récupérer la météo Paris
4. Extraire les données JSON
5. Formater et envoyer le résultat</t>
        </is>
      </c>
      <c r="G7" s="41" t="inlineStr">
        <is>
          <t>Workflow 'Météo du jour' envoyé chaque matin</t>
        </is>
      </c>
      <c r="H7" s="42" t="inlineStr">
        <is>
          <t>✗</t>
        </is>
      </c>
      <c r="I7" s="23" t="inlineStr">
        <is>
          <t>─</t>
        </is>
      </c>
      <c r="J7" s="23" t="inlineStr">
        <is>
          <t>2h</t>
        </is>
      </c>
      <c r="K7" s="23" t="inlineStr">
        <is>
          <t>6h-8h</t>
        </is>
      </c>
      <c r="L7" s="43" t="n"/>
    </row>
    <row r="8" ht="55" customHeight="1">
      <c r="A8" s="38" t="n">
        <v>1</v>
      </c>
      <c r="B8" s="23" t="inlineStr">
        <is>
          <t>15/05</t>
        </is>
      </c>
      <c r="C8" s="23" t="inlineStr">
        <is>
          <t>Jeu</t>
        </is>
      </c>
      <c r="D8" s="22" t="inlineStr">
        <is>
          <t>n8n — Webhook &amp; formulaire</t>
        </is>
      </c>
      <c r="E8" s="39" t="inlineStr">
        <is>
          <t>Recevoir des données depuis un formulaire et les traiter</t>
        </is>
      </c>
      <c r="F8" s="40" t="inlineStr">
        <is>
          <t>1. Node Webhook : créer un endpoint URL
2. Tester avec un formulaire simple (Google Form ou Tally)
3. Extraire les champs du formulaire
4. Sauvegarder dans Google Sheets ou Notion
5. Envoyer une confirmation automatique</t>
        </is>
      </c>
      <c r="G8" s="41" t="inlineStr">
        <is>
          <t>Formulaire → n8n → sauvegarde + email de confirmation</t>
        </is>
      </c>
      <c r="H8" s="42" t="inlineStr">
        <is>
          <t>✗</t>
        </is>
      </c>
      <c r="I8" s="23" t="inlineStr">
        <is>
          <t>─</t>
        </is>
      </c>
      <c r="J8" s="23" t="inlineStr">
        <is>
          <t>2h</t>
        </is>
      </c>
      <c r="K8" s="23" t="inlineStr">
        <is>
          <t>6h-8h</t>
        </is>
      </c>
      <c r="L8" s="43" t="n"/>
    </row>
    <row r="9" ht="55" customHeight="1">
      <c r="A9" s="38" t="n">
        <v>1</v>
      </c>
      <c r="B9" s="23" t="inlineStr">
        <is>
          <t>16/05</t>
        </is>
      </c>
      <c r="C9" s="23" t="inlineStr">
        <is>
          <t>Ven</t>
        </is>
      </c>
      <c r="D9" s="22" t="inlineStr">
        <is>
          <t>PROJET S1 — Workflow complet</t>
        </is>
      </c>
      <c r="E9" s="39" t="inlineStr">
        <is>
          <t>Assembler tout ce qu'on a appris en un workflow réel</t>
        </is>
      </c>
      <c r="F9" s="40" t="inlineStr">
        <is>
          <t>1. Choisir un cas d'usage simple (son idée)
2. Dessiner le workflow sur papier d'abord
3. Implémenter dans n8n (30 min)
4. Tester et corriger (20 min)
5. Présenter à voix haute (10 min)</t>
        </is>
      </c>
      <c r="G9" s="41" t="inlineStr">
        <is>
          <t>Mini-projet S1 fonctionnel + explication orale</t>
        </is>
      </c>
      <c r="H9" s="42" t="inlineStr">
        <is>
          <t>✗</t>
        </is>
      </c>
      <c r="I9" s="23" t="inlineStr">
        <is>
          <t>─</t>
        </is>
      </c>
      <c r="J9" s="23" t="inlineStr">
        <is>
          <t>2h</t>
        </is>
      </c>
      <c r="K9" s="23" t="inlineStr">
        <is>
          <t>6h-8h</t>
        </is>
      </c>
      <c r="L9" s="43" t="n"/>
    </row>
    <row r="10" ht="24" customHeight="1">
      <c r="A10" s="37" t="inlineStr">
        <is>
          <t xml:space="preserve">  ━━━  SEMAINE 2 — Claude API + IA (Créer des agents IA pratiques)  ━━━</t>
        </is>
      </c>
      <c r="B10" s="12" t="n"/>
      <c r="C10" s="12" t="n"/>
      <c r="D10" s="12" t="n"/>
      <c r="E10" s="12" t="n"/>
      <c r="F10" s="12" t="n"/>
      <c r="G10" s="12" t="n"/>
      <c r="H10" s="12" t="n"/>
      <c r="I10" s="12" t="n"/>
      <c r="J10" s="12" t="n"/>
      <c r="K10" s="12" t="n"/>
      <c r="L10" s="12" t="n"/>
    </row>
    <row r="11" ht="55" customHeight="1">
      <c r="A11" s="44" t="n">
        <v>2</v>
      </c>
      <c r="B11" s="45" t="inlineStr">
        <is>
          <t>19/05</t>
        </is>
      </c>
      <c r="C11" s="45" t="inlineStr">
        <is>
          <t>Lun</t>
        </is>
      </c>
      <c r="D11" s="46" t="inlineStr">
        <is>
          <t>Claude API — Introduction</t>
        </is>
      </c>
      <c r="E11" s="47" t="inlineStr">
        <is>
          <t>Comprendre ce qu'est une IA et faire son premier appel</t>
        </is>
      </c>
      <c r="F11" s="48" t="inlineStr">
        <is>
          <t>1. C'est quoi une IA générative ? (10 min)
2. Créer un compte Anthropic (si pas encore fait)
3. Dans n8n : node HTTP Request vers api.anthropic.com
4. Envoyer un message simple et voir la réponse
5. Modifier le prompt et observer les différences</t>
        </is>
      </c>
      <c r="G11" s="49" t="inlineStr">
        <is>
          <t>Premier appel Claude API dans n8n → réponse affichée</t>
        </is>
      </c>
      <c r="H11" s="50" t="inlineStr">
        <is>
          <t>✗</t>
        </is>
      </c>
      <c r="I11" s="45" t="inlineStr">
        <is>
          <t>─</t>
        </is>
      </c>
      <c r="J11" s="45" t="inlineStr">
        <is>
          <t>2h</t>
        </is>
      </c>
      <c r="K11" s="45" t="inlineStr">
        <is>
          <t>6h-8h</t>
        </is>
      </c>
      <c r="L11" s="51" t="n"/>
    </row>
    <row r="12" ht="55" customHeight="1">
      <c r="A12" s="44" t="n">
        <v>2</v>
      </c>
      <c r="B12" s="45" t="inlineStr">
        <is>
          <t>20/05</t>
        </is>
      </c>
      <c r="C12" s="45" t="inlineStr">
        <is>
          <t>Mar</t>
        </is>
      </c>
      <c r="D12" s="46" t="inlineStr">
        <is>
          <t>Claude API — Générer du texte</t>
        </is>
      </c>
      <c r="E12" s="47" t="inlineStr">
        <is>
          <t>Générer des emails, résumés et textes automatiquement</t>
        </is>
      </c>
      <c r="F12" s="48" t="inlineStr">
        <is>
          <t>1. System prompt : définir le rôle de l'IA
2. User prompt : la demande précise
3. Générer un email professionnel automatiquement
4. Générer un résumé d'un texte long
5. Faire varier le ton (formel, amical, court)</t>
        </is>
      </c>
      <c r="G12" s="49" t="inlineStr">
        <is>
          <t>Workflow : texte en entrée → résumé en sortie</t>
        </is>
      </c>
      <c r="H12" s="50" t="inlineStr">
        <is>
          <t>✗</t>
        </is>
      </c>
      <c r="I12" s="45" t="inlineStr">
        <is>
          <t>─</t>
        </is>
      </c>
      <c r="J12" s="45" t="inlineStr">
        <is>
          <t>2h</t>
        </is>
      </c>
      <c r="K12" s="45" t="inlineStr">
        <is>
          <t>6h-8h</t>
        </is>
      </c>
      <c r="L12" s="51" t="n"/>
    </row>
    <row r="13" ht="55" customHeight="1">
      <c r="A13" s="44" t="n">
        <v>2</v>
      </c>
      <c r="B13" s="45" t="inlineStr">
        <is>
          <t>21/05</t>
        </is>
      </c>
      <c r="C13" s="45" t="inlineStr">
        <is>
          <t>Mer</t>
        </is>
      </c>
      <c r="D13" s="46" t="inlineStr">
        <is>
          <t>Claude API — Analyser des données</t>
        </is>
      </c>
      <c r="E13" s="47" t="inlineStr">
        <is>
          <t>Envoyer un fichier et obtenir une analyse intelligente</t>
        </is>
      </c>
      <c r="F13" s="48" t="inlineStr">
        <is>
          <t>1. Transformer un CSV simple en texte pour Claude
2. Demander : 'Quels sont les 3 points importants ?'
3. Structurer la réponse (liste, tableau)
4. Appliquer sur une vraie donnée (facture, rapport)
5. Sauvegarder l'analyse dans Notion</t>
        </is>
      </c>
      <c r="G13" s="49" t="inlineStr">
        <is>
          <t>Workflow : fichier → analyse IA → sauvegarde Notion</t>
        </is>
      </c>
      <c r="H13" s="50" t="inlineStr">
        <is>
          <t>✗</t>
        </is>
      </c>
      <c r="I13" s="45" t="inlineStr">
        <is>
          <t>─</t>
        </is>
      </c>
      <c r="J13" s="45" t="inlineStr">
        <is>
          <t>2h</t>
        </is>
      </c>
      <c r="K13" s="45" t="inlineStr">
        <is>
          <t>6h-8h</t>
        </is>
      </c>
      <c r="L13" s="51" t="n"/>
    </row>
    <row r="14" ht="55" customHeight="1">
      <c r="A14" s="44" t="n">
        <v>2</v>
      </c>
      <c r="B14" s="45" t="inlineStr">
        <is>
          <t>22/05</t>
        </is>
      </c>
      <c r="C14" s="45" t="inlineStr">
        <is>
          <t>Jeu</t>
        </is>
      </c>
      <c r="D14" s="46" t="inlineStr">
        <is>
          <t>Claude API — Créer du contenu</t>
        </is>
      </c>
      <c r="E14" s="47" t="inlineStr">
        <is>
          <t>Générer des posts, newsletters et contenus marketing</t>
        </is>
      </c>
      <c r="F14" s="48" t="inlineStr">
        <is>
          <t>1. Prompt pour générer un post LinkedIn
2. Ajouter des émojis et une structure claire
3. Faire varier le sujet automatiquement
4. Workflow : thème du jour → post LinkedIn prêt
5. Programmer l'envoi à une heure fixe</t>
        </is>
      </c>
      <c r="G14" s="49" t="inlineStr">
        <is>
          <t>Workflow : thème → post LinkedIn généré automatiquement</t>
        </is>
      </c>
      <c r="H14" s="50" t="inlineStr">
        <is>
          <t>✗</t>
        </is>
      </c>
      <c r="I14" s="45" t="inlineStr">
        <is>
          <t>─</t>
        </is>
      </c>
      <c r="J14" s="45" t="inlineStr">
        <is>
          <t>2h</t>
        </is>
      </c>
      <c r="K14" s="45" t="inlineStr">
        <is>
          <t>6h-8h</t>
        </is>
      </c>
      <c r="L14" s="51" t="n"/>
    </row>
    <row r="15" ht="55" customHeight="1">
      <c r="A15" s="44" t="n">
        <v>2</v>
      </c>
      <c r="B15" s="45" t="inlineStr">
        <is>
          <t>23/05</t>
        </is>
      </c>
      <c r="C15" s="45" t="inlineStr">
        <is>
          <t>Ven</t>
        </is>
      </c>
      <c r="D15" s="46" t="inlineStr">
        <is>
          <t>PROJET S2 — Agent IA simple</t>
        </is>
      </c>
      <c r="E15" s="47" t="inlineStr">
        <is>
          <t>Créer son premier agent IA qui répond à des questions</t>
        </is>
      </c>
      <c r="F15" s="48" t="inlineStr">
        <is>
          <t>1. Définir le cas d'usage (son choix)
2. Rédiger le system prompt parfait
3. Créer le workflow complet
4. Tester avec 5 questions différentes
5. Présenter le résultat</t>
        </is>
      </c>
      <c r="G15" s="49" t="inlineStr">
        <is>
          <t>Agent IA fonctionnel sur un sujet choisi</t>
        </is>
      </c>
      <c r="H15" s="50" t="inlineStr">
        <is>
          <t>✗</t>
        </is>
      </c>
      <c r="I15" s="45" t="inlineStr">
        <is>
          <t>─</t>
        </is>
      </c>
      <c r="J15" s="45" t="inlineStr">
        <is>
          <t>2h</t>
        </is>
      </c>
      <c r="K15" s="45" t="inlineStr">
        <is>
          <t>6h-8h</t>
        </is>
      </c>
      <c r="L15" s="51" t="n"/>
    </row>
    <row r="16" ht="24" customHeight="1">
      <c r="A16" s="37" t="inlineStr">
        <is>
          <t xml:space="preserve">  ━━━  SEMAINE 3 — Make + Intégrations (Pipeline multi-outils)  ━━━</t>
        </is>
      </c>
      <c r="B16" s="12" t="n"/>
      <c r="C16" s="12" t="n"/>
      <c r="D16" s="12" t="n"/>
      <c r="E16" s="12" t="n"/>
      <c r="F16" s="12" t="n"/>
      <c r="G16" s="12" t="n"/>
      <c r="H16" s="12" t="n"/>
      <c r="I16" s="12" t="n"/>
      <c r="J16" s="12" t="n"/>
      <c r="K16" s="12" t="n"/>
      <c r="L16" s="12" t="n"/>
    </row>
    <row r="17" ht="55" customHeight="1">
      <c r="A17" s="52" t="n">
        <v>3</v>
      </c>
      <c r="B17" s="53" t="inlineStr">
        <is>
          <t>26/05</t>
        </is>
      </c>
      <c r="C17" s="53" t="inlineStr">
        <is>
          <t>Lun</t>
        </is>
      </c>
      <c r="D17" s="54" t="inlineStr">
        <is>
          <t>Make — Interface &amp; 1er scénario</t>
        </is>
      </c>
      <c r="E17" s="55" t="inlineStr">
        <is>
          <t>Découvrir Make et créer son premier scénario</t>
        </is>
      </c>
      <c r="F17" s="56" t="inlineStr">
        <is>
          <t>1. Créer un compte Make (make.com)
2. Interface : modules, connexions, filtres
3. Différence Make vs n8n (quand utiliser quoi)
4. Premier scénario : form → email
5. Activer et tester</t>
        </is>
      </c>
      <c r="G17" s="57" t="inlineStr">
        <is>
          <t>Scénario Make : formulaire → email de confirmation</t>
        </is>
      </c>
      <c r="H17" s="58" t="inlineStr">
        <is>
          <t>✗</t>
        </is>
      </c>
      <c r="I17" s="53" t="inlineStr">
        <is>
          <t>─</t>
        </is>
      </c>
      <c r="J17" s="53" t="inlineStr">
        <is>
          <t>2h</t>
        </is>
      </c>
      <c r="K17" s="53" t="inlineStr">
        <is>
          <t>6h-8h</t>
        </is>
      </c>
      <c r="L17" s="59" t="n"/>
    </row>
    <row r="18" ht="55" customHeight="1">
      <c r="A18" s="52" t="n">
        <v>3</v>
      </c>
      <c r="B18" s="53" t="inlineStr">
        <is>
          <t>27/05</t>
        </is>
      </c>
      <c r="C18" s="53" t="inlineStr">
        <is>
          <t>Mar</t>
        </is>
      </c>
      <c r="D18" s="54" t="inlineStr">
        <is>
          <t>Make — Connexions apps</t>
        </is>
      </c>
      <c r="E18" s="55" t="inlineStr">
        <is>
          <t>Connecter Google, Notion, Gmail dans Make</t>
        </is>
      </c>
      <c r="F18" s="56" t="inlineStr">
        <is>
          <t>1. Connecter Google Sheets (authentification)
2. Connecter Gmail
3. Scénario : nouveau contact → fiche Notion + email
4. Ajouter un filtre conditionnel
5. Programmer l'exécution automatique</t>
        </is>
      </c>
      <c r="G18" s="57" t="inlineStr">
        <is>
          <t>Scénario : nouveau contact → Notion + Gmail</t>
        </is>
      </c>
      <c r="H18" s="58" t="inlineStr">
        <is>
          <t>✗</t>
        </is>
      </c>
      <c r="I18" s="53" t="inlineStr">
        <is>
          <t>─</t>
        </is>
      </c>
      <c r="J18" s="53" t="inlineStr">
        <is>
          <t>2h</t>
        </is>
      </c>
      <c r="K18" s="53" t="inlineStr">
        <is>
          <t>6h-8h</t>
        </is>
      </c>
      <c r="L18" s="59" t="n"/>
    </row>
    <row r="19" ht="55" customHeight="1">
      <c r="A19" s="52" t="n">
        <v>3</v>
      </c>
      <c r="B19" s="53" t="inlineStr">
        <is>
          <t>28/05</t>
        </is>
      </c>
      <c r="C19" s="53" t="inlineStr">
        <is>
          <t>Mer</t>
        </is>
      </c>
      <c r="D19" s="54" t="inlineStr">
        <is>
          <t>Make — Pipeline automatisé</t>
        </is>
      </c>
      <c r="E19" s="55" t="inlineStr">
        <is>
          <t>Créer un pipeline de traitement complet</t>
        </is>
      </c>
      <c r="F19" s="56" t="inlineStr">
        <is>
          <t>1. Déclencher depuis un webhook
2. Transformer les données (formatage)
3. Router selon conditions (clients VIP vs standards)
4. Sauvegarder dans deux endroits différents
5. Envoyer une notification différente selon le type</t>
        </is>
      </c>
      <c r="G19" s="57" t="inlineStr">
        <is>
          <t>Pipeline complet avec routing et notifications</t>
        </is>
      </c>
      <c r="H19" s="58" t="inlineStr">
        <is>
          <t>✗</t>
        </is>
      </c>
      <c r="I19" s="53" t="inlineStr">
        <is>
          <t>─</t>
        </is>
      </c>
      <c r="J19" s="53" t="inlineStr">
        <is>
          <t>2h</t>
        </is>
      </c>
      <c r="K19" s="53" t="inlineStr">
        <is>
          <t>6h-8h</t>
        </is>
      </c>
      <c r="L19" s="59" t="n"/>
    </row>
    <row r="20" ht="55" customHeight="1">
      <c r="A20" s="52" t="n">
        <v>3</v>
      </c>
      <c r="B20" s="53" t="inlineStr">
        <is>
          <t>29/05</t>
        </is>
      </c>
      <c r="C20" s="53" t="inlineStr">
        <is>
          <t>Jeu</t>
        </is>
      </c>
      <c r="D20" s="54" t="inlineStr">
        <is>
          <t>Make + n8n + Claude — Combiner les outils</t>
        </is>
      </c>
      <c r="E20" s="55" t="inlineStr">
        <is>
          <t>Créer un workflow hybride multi-outils</t>
        </is>
      </c>
      <c r="F20" s="56" t="inlineStr">
        <is>
          <t>1. n8n reçoit un webhook
2. Appelle Claude API pour analyser
3. Envoie le résultat à Make
4. Make sauvegarde et notifie
5. Tester le pipeline complet</t>
        </is>
      </c>
      <c r="G20" s="57" t="inlineStr">
        <is>
          <t>Workflow hybride n8n → Claude → Make fonctionnel</t>
        </is>
      </c>
      <c r="H20" s="58" t="inlineStr">
        <is>
          <t>✗</t>
        </is>
      </c>
      <c r="I20" s="53" t="inlineStr">
        <is>
          <t>─</t>
        </is>
      </c>
      <c r="J20" s="53" t="inlineStr">
        <is>
          <t>2h</t>
        </is>
      </c>
      <c r="K20" s="53" t="inlineStr">
        <is>
          <t>6h-8h</t>
        </is>
      </c>
      <c r="L20" s="59" t="n"/>
    </row>
    <row r="21" ht="55" customHeight="1">
      <c r="A21" s="52" t="n">
        <v>3</v>
      </c>
      <c r="B21" s="53" t="inlineStr">
        <is>
          <t>30/05</t>
        </is>
      </c>
      <c r="C21" s="53" t="inlineStr">
        <is>
          <t>Ven</t>
        </is>
      </c>
      <c r="D21" s="54" t="inlineStr">
        <is>
          <t>PROJET S3 — Pipeline commercial</t>
        </is>
      </c>
      <c r="E21" s="55" t="inlineStr">
        <is>
          <t>Automatiser un vrai processus business</t>
        </is>
      </c>
      <c r="F21" s="56" t="inlineStr">
        <is>
          <t>1. Choisir : lead entrant, commande, support...
2. Mapper le processus actuel
3. Construire l'automatisation complète
4. Tester avec des données réelles
5. Calculer le temps économisé/semaine</t>
        </is>
      </c>
      <c r="G21" s="57" t="inlineStr">
        <is>
          <t>Pipeline commercial automatisé + calcul ROI</t>
        </is>
      </c>
      <c r="H21" s="58" t="inlineStr">
        <is>
          <t>✗</t>
        </is>
      </c>
      <c r="I21" s="53" t="inlineStr">
        <is>
          <t>─</t>
        </is>
      </c>
      <c r="J21" s="53" t="inlineStr">
        <is>
          <t>2h</t>
        </is>
      </c>
      <c r="K21" s="53" t="inlineStr">
        <is>
          <t>6h-8h</t>
        </is>
      </c>
      <c r="L21" s="59" t="n"/>
    </row>
    <row r="22" ht="24" customHeight="1">
      <c r="A22" s="37" t="inlineStr">
        <is>
          <t xml:space="preserve">  ━━━  SEMAINE 4 — Bubble.io + Projet Final (Construire une vraie app)  ━━━</t>
        </is>
      </c>
      <c r="B22" s="12" t="n"/>
      <c r="C22" s="12" t="n"/>
      <c r="D22" s="12" t="n"/>
      <c r="E22" s="12" t="n"/>
      <c r="F22" s="12" t="n"/>
      <c r="G22" s="12" t="n"/>
      <c r="H22" s="12" t="n"/>
      <c r="I22" s="12" t="n"/>
      <c r="J22" s="12" t="n"/>
      <c r="K22" s="12" t="n"/>
      <c r="L22" s="12" t="n"/>
    </row>
    <row r="23" ht="55" customHeight="1">
      <c r="A23" s="60" t="n">
        <v>4</v>
      </c>
      <c r="B23" s="61" t="inlineStr">
        <is>
          <t>02/06</t>
        </is>
      </c>
      <c r="C23" s="61" t="inlineStr">
        <is>
          <t>Lun</t>
        </is>
      </c>
      <c r="D23" s="62" t="inlineStr">
        <is>
          <t>Bubble.io — Interface &amp; design</t>
        </is>
      </c>
      <c r="E23" s="63" t="inlineStr">
        <is>
          <t>Créer sa première page web sans coder</t>
        </is>
      </c>
      <c r="F23" s="64" t="inlineStr">
        <is>
          <t>1. Créer un compte Bubble.io
2. Interface : éditeur, responsive, éléments
3. Ajouter : texte, boutons, images
4. Créer une page d'accueil simple
5. Prévisualiser en mode mobile</t>
        </is>
      </c>
      <c r="G23" s="65" t="inlineStr">
        <is>
          <t>Page d'accueil simple et responsive dans Bubble</t>
        </is>
      </c>
      <c r="H23" s="66" t="inlineStr">
        <is>
          <t>✗</t>
        </is>
      </c>
      <c r="I23" s="61" t="inlineStr">
        <is>
          <t>─</t>
        </is>
      </c>
      <c r="J23" s="61" t="inlineStr">
        <is>
          <t>2h</t>
        </is>
      </c>
      <c r="K23" s="61" t="inlineStr">
        <is>
          <t>6h-8h</t>
        </is>
      </c>
      <c r="L23" s="67" t="n"/>
    </row>
    <row r="24" ht="55" customHeight="1">
      <c r="A24" s="60" t="n">
        <v>4</v>
      </c>
      <c r="B24" s="61" t="inlineStr">
        <is>
          <t>03/06</t>
        </is>
      </c>
      <c r="C24" s="61" t="inlineStr">
        <is>
          <t>Mar</t>
        </is>
      </c>
      <c r="D24" s="62" t="inlineStr">
        <is>
          <t>Bubble.io — Base de données</t>
        </is>
      </c>
      <c r="E24" s="63" t="inlineStr">
        <is>
          <t>Stocker et afficher des données dynamiques</t>
        </is>
      </c>
      <c r="F24" s="64" t="inlineStr">
        <is>
          <t>1. Data types dans Bubble (tables, champs)
2. Créer une table 'Contacts'
3. Formulaire pour ajouter des contacts
4. Afficher la liste des contacts
5. Ajouter recherche et filtres</t>
        </is>
      </c>
      <c r="G24" s="65" t="inlineStr">
        <is>
          <t>Mini-app de gestion de contacts dans Bubble</t>
        </is>
      </c>
      <c r="H24" s="66" t="inlineStr">
        <is>
          <t>✗</t>
        </is>
      </c>
      <c r="I24" s="61" t="inlineStr">
        <is>
          <t>─</t>
        </is>
      </c>
      <c r="J24" s="61" t="inlineStr">
        <is>
          <t>2h</t>
        </is>
      </c>
      <c r="K24" s="61" t="inlineStr">
        <is>
          <t>6h-8h</t>
        </is>
      </c>
      <c r="L24" s="67" t="n"/>
    </row>
    <row r="25" ht="55" customHeight="1">
      <c r="A25" s="60" t="n">
        <v>4</v>
      </c>
      <c r="B25" s="61" t="inlineStr">
        <is>
          <t>04/06</t>
        </is>
      </c>
      <c r="C25" s="61" t="inlineStr">
        <is>
          <t>Mer</t>
        </is>
      </c>
      <c r="D25" s="62" t="inlineStr">
        <is>
          <t>Bubble.io — Workflows &amp; logique</t>
        </is>
      </c>
      <c r="E25" s="63" t="inlineStr">
        <is>
          <t>Ajouter de l'interactivité et des actions</t>
        </is>
      </c>
      <c r="F25" s="64" t="inlineStr">
        <is>
          <t>1. Workflows Bubble : quand/quoi faire
2. Bouton → action (créer, modifier, supprimer)
3. Conditions : afficher si connecté
4. Envoyer un email depuis Bubble
5. Appeler n8n depuis Bubble</t>
        </is>
      </c>
      <c r="G25" s="65" t="inlineStr">
        <is>
          <t>App interactive avec actions et conditions</t>
        </is>
      </c>
      <c r="H25" s="66" t="inlineStr">
        <is>
          <t>✗</t>
        </is>
      </c>
      <c r="I25" s="61" t="inlineStr">
        <is>
          <t>─</t>
        </is>
      </c>
      <c r="J25" s="61" t="inlineStr">
        <is>
          <t>2h</t>
        </is>
      </c>
      <c r="K25" s="61" t="inlineStr">
        <is>
          <t>6h-8h</t>
        </is>
      </c>
      <c r="L25" s="67" t="n"/>
    </row>
    <row r="26" ht="55" customHeight="1">
      <c r="A26" s="60" t="n">
        <v>4</v>
      </c>
      <c r="B26" s="61" t="inlineStr">
        <is>
          <t>05/06</t>
        </is>
      </c>
      <c r="C26" s="61" t="inlineStr">
        <is>
          <t>Jeu</t>
        </is>
      </c>
      <c r="D26" s="62" t="inlineStr">
        <is>
          <t>Bubble.io — API Connector</t>
        </is>
      </c>
      <c r="E26" s="63" t="inlineStr">
        <is>
          <t>Connecter Bubble à des services externes</t>
        </is>
      </c>
      <c r="F26" s="64" t="inlineStr">
        <is>
          <t>1. Plugin API Connector dans Bubble
2. Appeler Claude API depuis Bubble
3. Afficher la réponse IA dans l'interface
4. Appeler n8n webhook depuis un bouton
5. Tester le flux complet</t>
        </is>
      </c>
      <c r="G26" s="65" t="inlineStr">
        <is>
          <t>App Bubble qui appelle Claude API et affiche le résultat</t>
        </is>
      </c>
      <c r="H26" s="66" t="inlineStr">
        <is>
          <t>✗</t>
        </is>
      </c>
      <c r="I26" s="61" t="inlineStr">
        <is>
          <t>─</t>
        </is>
      </c>
      <c r="J26" s="61" t="inlineStr">
        <is>
          <t>2h</t>
        </is>
      </c>
      <c r="K26" s="61" t="inlineStr">
        <is>
          <t>6h-8h</t>
        </is>
      </c>
      <c r="L26" s="67" t="n"/>
    </row>
    <row r="27" ht="55" customHeight="1">
      <c r="A27" s="60" t="n">
        <v>4</v>
      </c>
      <c r="B27" s="61" t="inlineStr">
        <is>
          <t>06/06</t>
        </is>
      </c>
      <c r="C27" s="61" t="inlineStr">
        <is>
          <t>Ven</t>
        </is>
      </c>
      <c r="D27" s="62" t="inlineStr">
        <is>
          <t>PROJET FINAL — Application complète</t>
        </is>
      </c>
      <c r="E27" s="63" t="inlineStr">
        <is>
          <t>Créer une vraie app NoCode de A à Z</t>
        </is>
      </c>
      <c r="F27" s="64" t="inlineStr">
        <is>
          <t>1. Choisir le projet (son idée ou cas NEXOR)
2. Concevoir : pages, données, workflows
3. Construire (60 min)
4. Connecter les automatisations (20 min)
5. PRÉSENTATION FINALE (20 min)</t>
        </is>
      </c>
      <c r="G27" s="65" t="inlineStr">
        <is>
          <t>Application complète + présentation 20 min</t>
        </is>
      </c>
      <c r="H27" s="66" t="inlineStr">
        <is>
          <t>✗</t>
        </is>
      </c>
      <c r="I27" s="61" t="inlineStr">
        <is>
          <t>─</t>
        </is>
      </c>
      <c r="J27" s="61" t="inlineStr">
        <is>
          <t>2h</t>
        </is>
      </c>
      <c r="K27" s="61" t="inlineStr">
        <is>
          <t>6h-8h</t>
        </is>
      </c>
      <c r="L27" s="67" t="n"/>
    </row>
    <row r="28">
      <c r="A28" s="12" t="n"/>
      <c r="B28" s="12" t="n"/>
      <c r="C28" s="12" t="n"/>
      <c r="D28" s="12" t="n"/>
      <c r="E28" s="12" t="n"/>
      <c r="F28" s="12" t="n"/>
      <c r="G28" s="12" t="n"/>
      <c r="H28" s="12" t="n"/>
      <c r="I28" s="12" t="n"/>
      <c r="J28" s="12" t="n"/>
      <c r="K28" s="12" t="n"/>
      <c r="L28" s="12" t="n"/>
    </row>
  </sheetData>
  <mergeCells count="6">
    <mergeCell ref="A2:L2"/>
    <mergeCell ref="A16:L16"/>
    <mergeCell ref="A10:L10"/>
    <mergeCell ref="A1:L1"/>
    <mergeCell ref="A22:L22"/>
    <mergeCell ref="A4:L4"/>
  </mergeCells>
  <conditionalFormatting sqref="A4:L28">
    <cfRule type="expression" priority="1" dxfId="0">
      <formula>$H4="✓"</formula>
    </cfRule>
    <cfRule type="expression" priority="2" dxfId="1">
      <formula>$H4="⏳"</formula>
    </cfRule>
  </conditionalFormatting>
  <dataValidations count="1">
    <dataValidation sqref="H4:H100"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5" customWidth="1" min="1" max="1"/>
    <col width="10" customWidth="1" min="2" max="2"/>
    <col width="8" customWidth="1" min="3" max="3"/>
    <col width="22" customWidth="1" min="4" max="4"/>
    <col width="35" customWidth="1" min="5" max="5"/>
    <col width="40" customWidth="1" min="6" max="6"/>
    <col width="32" customWidth="1" min="7" max="7"/>
    <col width="8" customWidth="1" min="8" max="8"/>
    <col width="9" customWidth="1" min="9" max="9"/>
    <col width="10" customWidth="1" min="10" max="10"/>
    <col width="8" customWidth="1" min="11" max="11"/>
    <col width="20" customWidth="1" min="12" max="12"/>
  </cols>
  <sheetData>
    <row r="1" ht="32" customHeight="1">
      <c r="A1" s="68" t="inlineStr">
        <is>
          <t>👦  THÉO — Formation NoCode + IA Avancé  ·  20h00 – 23h00  (3h/session)</t>
        </is>
      </c>
    </row>
    <row r="2" ht="16" customHeight="1">
      <c r="A2" s="69" t="inlineStr">
        <is>
          <t>Niveau : Intermédiaire  ·  Durée : 4 semaines  ·  Outils : n8n Avancé → Agents IA → Make Expert → Bubble Pro</t>
        </is>
      </c>
    </row>
    <row r="3" ht="22" customHeight="1">
      <c r="A3" s="70" t="inlineStr">
        <is>
          <t>S#</t>
        </is>
      </c>
      <c r="B3" s="70" t="inlineStr">
        <is>
          <t>Date</t>
        </is>
      </c>
      <c r="C3" s="70" t="inlineStr">
        <is>
          <t>Jour</t>
        </is>
      </c>
      <c r="D3" s="70" t="inlineStr">
        <is>
          <t>Thème / Outil</t>
        </is>
      </c>
      <c r="E3" s="70" t="inlineStr">
        <is>
          <t>Objectif (niveau expert)</t>
        </is>
      </c>
      <c r="F3" s="70" t="inlineStr">
        <is>
          <t>Contenu détaillé (3h)</t>
        </is>
      </c>
      <c r="G3" s="70" t="inlineStr">
        <is>
          <t>Livrable facturable</t>
        </is>
      </c>
      <c r="H3" s="70" t="inlineStr">
        <is>
          <t>✅</t>
        </is>
      </c>
      <c r="I3" s="70" t="inlineStr">
        <is>
          <t>Score</t>
        </is>
      </c>
      <c r="J3" s="70" t="inlineStr">
        <is>
          <t>Durée</t>
        </is>
      </c>
      <c r="K3" s="70" t="inlineStr">
        <is>
          <t>Bloc</t>
        </is>
      </c>
      <c r="L3" s="70" t="inlineStr">
        <is>
          <t>Notes</t>
        </is>
      </c>
    </row>
    <row r="4" ht="24" customHeight="1">
      <c r="A4" s="71" t="inlineStr">
        <is>
          <t xml:space="preserve">  ━━━  SEMAINE 1 — n8n Avancé (Niveau professionnel, workflows facturables)  ━━━</t>
        </is>
      </c>
      <c r="B4" s="12" t="n"/>
      <c r="C4" s="12" t="n"/>
      <c r="D4" s="12" t="n"/>
      <c r="E4" s="12" t="n"/>
      <c r="F4" s="12" t="n"/>
      <c r="G4" s="12" t="n"/>
      <c r="H4" s="12" t="n"/>
      <c r="I4" s="12" t="n"/>
      <c r="J4" s="12" t="n"/>
      <c r="K4" s="12" t="n"/>
      <c r="L4" s="12" t="n"/>
    </row>
    <row r="5" ht="60" customHeight="1">
      <c r="A5" s="72" t="n">
        <v>1</v>
      </c>
      <c r="B5" s="27" t="inlineStr">
        <is>
          <t>12/05</t>
        </is>
      </c>
      <c r="C5" s="27" t="inlineStr">
        <is>
          <t>Lun</t>
        </is>
      </c>
      <c r="D5" s="26" t="inlineStr">
        <is>
          <t>n8n Avancé — Expressions &amp; JSON</t>
        </is>
      </c>
      <c r="E5" s="73" t="inlineStr">
        <is>
          <t>Maîtriser les expressions n8n et la manipulation de données JSON complexes</t>
        </is>
      </c>
      <c r="F5" s="74" t="inlineStr">
        <is>
          <t>1. Expressions {{ }} : tout savoir (40 min)
2. Fonctions JS inline : .split(), .map(), .filter()
3. Manipulation JSON : nested objects, arrays
4. Node Function/Code : JavaScript dans n8n
5. Exercice : transformer données CatC brutes en rapport structuré
6. Débogage : Error Trigger + logs</t>
        </is>
      </c>
      <c r="G5" s="75" t="inlineStr">
        <is>
          <t>Transformer un export CatC JSON complexe en rapport lisible</t>
        </is>
      </c>
      <c r="H5" s="76" t="inlineStr">
        <is>
          <t>✗</t>
        </is>
      </c>
      <c r="I5" s="27" t="inlineStr">
        <is>
          <t>─</t>
        </is>
      </c>
      <c r="J5" s="27" t="inlineStr">
        <is>
          <t>3h</t>
        </is>
      </c>
      <c r="K5" s="27" t="inlineStr">
        <is>
          <t>20h-23h</t>
        </is>
      </c>
      <c r="L5" s="77" t="n"/>
    </row>
    <row r="6" ht="60" customHeight="1">
      <c r="A6" s="72" t="n">
        <v>1</v>
      </c>
      <c r="B6" s="27" t="inlineStr">
        <is>
          <t>13/05</t>
        </is>
      </c>
      <c r="C6" s="27" t="inlineStr">
        <is>
          <t>Mar</t>
        </is>
      </c>
      <c r="D6" s="26" t="inlineStr">
        <is>
          <t>n8n — APIs Avancées &amp; Auth</t>
        </is>
      </c>
      <c r="E6" s="73" t="inlineStr">
        <is>
          <t>Maîtriser tous les types d'authentification et gérer les APIs complexes</t>
        </is>
      </c>
      <c r="F6" s="74" t="inlineStr">
        <is>
          <t>1. Auth types : Bearer Token, OAuth2, API Key, Basic
2. Pagination automatique : loop pour 1000+ résultats
3. Rate limiting : délais entre appels
4. Gestion d'erreurs : retry, fallback, alertes
5. Node HTTP Request avancé : headers, query params
6. Exercice : inventaire complet CatC paginé</t>
        </is>
      </c>
      <c r="G6" s="75" t="inlineStr">
        <is>
          <t>Script d'inventaire CatC complet avec auth + pagination</t>
        </is>
      </c>
      <c r="H6" s="76" t="inlineStr">
        <is>
          <t>✗</t>
        </is>
      </c>
      <c r="I6" s="27" t="inlineStr">
        <is>
          <t>─</t>
        </is>
      </c>
      <c r="J6" s="27" t="inlineStr">
        <is>
          <t>3h</t>
        </is>
      </c>
      <c r="K6" s="27" t="inlineStr">
        <is>
          <t>20h-23h</t>
        </is>
      </c>
      <c r="L6" s="77" t="n"/>
    </row>
    <row r="7" ht="60" customHeight="1">
      <c r="A7" s="72" t="n">
        <v>1</v>
      </c>
      <c r="B7" s="27" t="inlineStr">
        <is>
          <t>14/05</t>
        </is>
      </c>
      <c r="C7" s="27" t="inlineStr">
        <is>
          <t>Mer</t>
        </is>
      </c>
      <c r="D7" s="26" t="inlineStr">
        <is>
          <t>n8n — Sub-workflows &amp; Architecture</t>
        </is>
      </c>
      <c r="E7" s="73" t="inlineStr">
        <is>
          <t>Architecturer des solutions complexes et modulaires</t>
        </is>
      </c>
      <c r="F7" s="74" t="inlineStr">
        <is>
          <t>1. Sub-workflows : créer des modules réutilisables
2. Exécutions en parallèle : Split In Batches
3. Wait node : workflows asynchrones
4. Variables globales : partager des données
5. Webhook sécurisé : validation signatures
6. Exercice : refactoriser un workflow existant en modules</t>
        </is>
      </c>
      <c r="G7" s="75" t="inlineStr">
        <is>
          <t>Architecture modulaire réutilisable pour 3 cas d'usage NEXOR</t>
        </is>
      </c>
      <c r="H7" s="76" t="inlineStr">
        <is>
          <t>✗</t>
        </is>
      </c>
      <c r="I7" s="27" t="inlineStr">
        <is>
          <t>─</t>
        </is>
      </c>
      <c r="J7" s="27" t="inlineStr">
        <is>
          <t>3h</t>
        </is>
      </c>
      <c r="K7" s="27" t="inlineStr">
        <is>
          <t>20h-23h</t>
        </is>
      </c>
      <c r="L7" s="77" t="n"/>
    </row>
    <row r="8" ht="60" customHeight="1">
      <c r="A8" s="72" t="n">
        <v>1</v>
      </c>
      <c r="B8" s="27" t="inlineStr">
        <is>
          <t>15/05</t>
        </is>
      </c>
      <c r="C8" s="27" t="inlineStr">
        <is>
          <t>Jeu</t>
        </is>
      </c>
      <c r="D8" s="26" t="inlineStr">
        <is>
          <t>n8n — Workflow Professionnel</t>
        </is>
      </c>
      <c r="E8" s="73" t="inlineStr">
        <is>
          <t>Construire un workflow complet de niveau production</t>
        </is>
      </c>
      <c r="F8" s="74" t="inlineStr">
        <is>
          <t>1. Cas d'usage réel : rapport réseau automatisé
2. Ingestion données CatC/WLC via API
3. Transformation et scoring (votre formule RF)
4. Génération PDF ou email formaté
5. Gestion erreurs + alertes Slack
6. Tests unitaires manuels + documentation</t>
        </is>
      </c>
      <c r="G8" s="75" t="inlineStr">
        <is>
          <t>Workflow 'Rapport réseau automatique' prêt à livrer</t>
        </is>
      </c>
      <c r="H8" s="76" t="inlineStr">
        <is>
          <t>✗</t>
        </is>
      </c>
      <c r="I8" s="27" t="inlineStr">
        <is>
          <t>─</t>
        </is>
      </c>
      <c r="J8" s="27" t="inlineStr">
        <is>
          <t>3h</t>
        </is>
      </c>
      <c r="K8" s="27" t="inlineStr">
        <is>
          <t>20h-23h</t>
        </is>
      </c>
      <c r="L8" s="77" t="n"/>
    </row>
    <row r="9" ht="60" customHeight="1">
      <c r="A9" s="72" t="n">
        <v>1</v>
      </c>
      <c r="B9" s="27" t="inlineStr">
        <is>
          <t>16/05</t>
        </is>
      </c>
      <c r="C9" s="27" t="inlineStr">
        <is>
          <t>Ven</t>
        </is>
      </c>
      <c r="D9" s="26" t="inlineStr">
        <is>
          <t>LIVRABLE S1 — Workflow Facturable</t>
        </is>
      </c>
      <c r="E9" s="73" t="inlineStr">
        <is>
          <t>Finaliser et packager un workflow vendable</t>
        </is>
      </c>
      <c r="F9" s="74" t="inlineStr">
        <is>
          <t>1. Révision et polish du workflow S1 (45 min)
2. Créer la documentation utilisateur (30 min)
3. Packager : guide d'installation + credentials
4. Estimer le prix (combien vaut ce workflow ?)
5. Préparer une démo de 5 minutes
6. Répéter la démo à voix haute</t>
        </is>
      </c>
      <c r="G9" s="75" t="inlineStr">
        <is>
          <t>Workflow documenté + démo 5 min + prix estimé</t>
        </is>
      </c>
      <c r="H9" s="76" t="inlineStr">
        <is>
          <t>✗</t>
        </is>
      </c>
      <c r="I9" s="27" t="inlineStr">
        <is>
          <t>─</t>
        </is>
      </c>
      <c r="J9" s="27" t="inlineStr">
        <is>
          <t>3h</t>
        </is>
      </c>
      <c r="K9" s="27" t="inlineStr">
        <is>
          <t>20h-23h</t>
        </is>
      </c>
      <c r="L9" s="77" t="n"/>
    </row>
    <row r="10" ht="24" customHeight="1">
      <c r="A10" s="71" t="inlineStr">
        <is>
          <t xml:space="preserve">  ━━━  SEMAINE 2 — Agents IA Avancés (Construire des agents qui se vendent)  ━━━</t>
        </is>
      </c>
      <c r="B10" s="12" t="n"/>
      <c r="C10" s="12" t="n"/>
      <c r="D10" s="12" t="n"/>
      <c r="E10" s="12" t="n"/>
      <c r="F10" s="12" t="n"/>
      <c r="G10" s="12" t="n"/>
      <c r="H10" s="12" t="n"/>
      <c r="I10" s="12" t="n"/>
      <c r="J10" s="12" t="n"/>
      <c r="K10" s="12" t="n"/>
      <c r="L10" s="12" t="n"/>
    </row>
    <row r="11" ht="60" customHeight="1">
      <c r="A11" s="78" t="n">
        <v>2</v>
      </c>
      <c r="B11" s="79" t="inlineStr">
        <is>
          <t>19/05</t>
        </is>
      </c>
      <c r="C11" s="79" t="inlineStr">
        <is>
          <t>Lun</t>
        </is>
      </c>
      <c r="D11" s="80" t="inlineStr">
        <is>
          <t>Agents IA — Architecture &amp; Mémoire</t>
        </is>
      </c>
      <c r="E11" s="81" t="inlineStr">
        <is>
          <t>Concevoir des agents IA robustes avec mémoire et contexte</t>
        </is>
      </c>
      <c r="F11" s="82" t="inlineStr">
        <is>
          <t>1. Architecture agent : system prompt, mémoire, outils
2. Mémoire contextuelle : maintenir l'historique
3. Chain of thought : raisonner étape par étape
4. Structured output : forcer un format JSON
5. Gestion de tokens : optimiser les coûts
6. Exercice : agent qui analyse des logs réseau</t>
        </is>
      </c>
      <c r="G11" s="83" t="inlineStr">
        <is>
          <t>Agent analyseur de logs avec mémoire de contexte</t>
        </is>
      </c>
      <c r="H11" s="84" t="inlineStr">
        <is>
          <t>✗</t>
        </is>
      </c>
      <c r="I11" s="79" t="inlineStr">
        <is>
          <t>─</t>
        </is>
      </c>
      <c r="J11" s="79" t="inlineStr">
        <is>
          <t>3h</t>
        </is>
      </c>
      <c r="K11" s="79" t="inlineStr">
        <is>
          <t>20h-23h</t>
        </is>
      </c>
      <c r="L11" s="85" t="n"/>
    </row>
    <row r="12" ht="60" customHeight="1">
      <c r="A12" s="78" t="n">
        <v>2</v>
      </c>
      <c r="B12" s="79" t="inlineStr">
        <is>
          <t>20/05</t>
        </is>
      </c>
      <c r="C12" s="79" t="inlineStr">
        <is>
          <t>Mar</t>
        </is>
      </c>
      <c r="D12" s="80" t="inlineStr">
        <is>
          <t>Agent — Qualification Leads IA</t>
        </is>
      </c>
      <c r="E12" s="81" t="inlineStr">
        <is>
          <t>Construire l'agent de qualification commerciale NEXOR</t>
        </is>
      </c>
      <c r="F12" s="82" t="inlineStr">
        <is>
          <t>1. Objectif : email entrant → qualification automatique
2. Extraire : société, besoin, budget, urgence
3. Scorer le lead (1-10) selon critères NEXOR
4. Enrichir : rechercher l'entreprise (API Clearbit)
5. Créer la fiche dans Notion CRM
6. Envoyer une réponse personnalisée automatique</t>
        </is>
      </c>
      <c r="G12" s="83" t="inlineStr">
        <is>
          <t>Agent de qualification leads NEXOR opérationnel</t>
        </is>
      </c>
      <c r="H12" s="84" t="inlineStr">
        <is>
          <t>✗</t>
        </is>
      </c>
      <c r="I12" s="79" t="inlineStr">
        <is>
          <t>─</t>
        </is>
      </c>
      <c r="J12" s="79" t="inlineStr">
        <is>
          <t>3h</t>
        </is>
      </c>
      <c r="K12" s="79" t="inlineStr">
        <is>
          <t>20h-23h</t>
        </is>
      </c>
      <c r="L12" s="85" t="n"/>
    </row>
    <row r="13" ht="60" customHeight="1">
      <c r="A13" s="78" t="n">
        <v>2</v>
      </c>
      <c r="B13" s="79" t="inlineStr">
        <is>
          <t>21/05</t>
        </is>
      </c>
      <c r="C13" s="79" t="inlineStr">
        <is>
          <t>Mer</t>
        </is>
      </c>
      <c r="D13" s="80" t="inlineStr">
        <is>
          <t>Agent — Support IT Réseau</t>
        </is>
      </c>
      <c r="E13" s="81" t="inlineStr">
        <is>
          <t>Construire l'agent de diagnostic réseau intelligent</t>
        </is>
      </c>
      <c r="F13" s="82" t="inlineStr">
        <is>
          <t>1. Objectif : alerte réseau → diagnostic → action
2. Parser les alertes SolarWinds/CatC
3. Base de connaissances (FAQ réseau en prompt)
4. Diagnostic automatique selon type d'alerte
5. Créer un ticket Notion/Jira automatiquement
6. Escalade si critique (Slack + SMS)</t>
        </is>
      </c>
      <c r="G13" s="83" t="inlineStr">
        <is>
          <t>Agent support IT réseau avec escalade automatique</t>
        </is>
      </c>
      <c r="H13" s="84" t="inlineStr">
        <is>
          <t>✗</t>
        </is>
      </c>
      <c r="I13" s="79" t="inlineStr">
        <is>
          <t>─</t>
        </is>
      </c>
      <c r="J13" s="79" t="inlineStr">
        <is>
          <t>3h</t>
        </is>
      </c>
      <c r="K13" s="79" t="inlineStr">
        <is>
          <t>20h-23h</t>
        </is>
      </c>
      <c r="L13" s="85" t="n"/>
    </row>
    <row r="14" ht="60" customHeight="1">
      <c r="A14" s="78" t="n">
        <v>2</v>
      </c>
      <c r="B14" s="79" t="inlineStr">
        <is>
          <t>22/05</t>
        </is>
      </c>
      <c r="C14" s="79" t="inlineStr">
        <is>
          <t>Jeu</t>
        </is>
      </c>
      <c r="D14" s="80" t="inlineStr">
        <is>
          <t>RAG — Base de connaissances</t>
        </is>
      </c>
      <c r="E14" s="81" t="inlineStr">
        <is>
          <t>Créer un agent qui cherche dans une base documentaire</t>
        </is>
      </c>
      <c r="F14" s="82" t="inlineStr">
        <is>
          <t>1. C'est quoi le RAG ? (30 min)
2. Charger des documents dans le contexte Claude
3. Technique : embed + search simplifié en n8n
4. Cas d'usage : agent répond sur doc technique
5. Appliquer sur documentation Cisco/CatC
6. Tester avec 10 questions réelles</t>
        </is>
      </c>
      <c r="G14" s="83" t="inlineStr">
        <is>
          <t>Agent RAG sur documentation réseau Cisco</t>
        </is>
      </c>
      <c r="H14" s="84" t="inlineStr">
        <is>
          <t>✗</t>
        </is>
      </c>
      <c r="I14" s="79" t="inlineStr">
        <is>
          <t>─</t>
        </is>
      </c>
      <c r="J14" s="79" t="inlineStr">
        <is>
          <t>3h</t>
        </is>
      </c>
      <c r="K14" s="79" t="inlineStr">
        <is>
          <t>20h-23h</t>
        </is>
      </c>
      <c r="L14" s="85" t="n"/>
    </row>
    <row r="15" ht="60" customHeight="1">
      <c r="A15" s="78" t="n">
        <v>2</v>
      </c>
      <c r="B15" s="79" t="inlineStr">
        <is>
          <t>23/05</t>
        </is>
      </c>
      <c r="C15" s="79" t="inlineStr">
        <is>
          <t>Ven</t>
        </is>
      </c>
      <c r="D15" s="80" t="inlineStr">
        <is>
          <t>LIVRABLE S2 — Agent IA Facturable</t>
        </is>
      </c>
      <c r="E15" s="81" t="inlineStr">
        <is>
          <t>Agent IA complet prêt pour un client NEXOR</t>
        </is>
      </c>
      <c r="F15" s="82" t="inlineStr">
        <is>
          <t>1. Choisir l'agent le plus avancé de la semaine
2. Raffiner le system prompt (perfectionniste)
3. Ajouter gestion erreurs + fallback
4. Documenter : cas d'usage, limitations, prix
5. Démo 10 minutes simulant une vraie présentation client
6. Répéter jusqu'à fluidité totale</t>
        </is>
      </c>
      <c r="G15" s="83" t="inlineStr">
        <is>
          <t>Agent IA documenté + démo client 10 min</t>
        </is>
      </c>
      <c r="H15" s="84" t="inlineStr">
        <is>
          <t>✗</t>
        </is>
      </c>
      <c r="I15" s="79" t="inlineStr">
        <is>
          <t>─</t>
        </is>
      </c>
      <c r="J15" s="79" t="inlineStr">
        <is>
          <t>3h</t>
        </is>
      </c>
      <c r="K15" s="79" t="inlineStr">
        <is>
          <t>20h-23h</t>
        </is>
      </c>
      <c r="L15" s="85" t="n"/>
    </row>
    <row r="16" ht="24" customHeight="1">
      <c r="A16" s="71" t="inlineStr">
        <is>
          <t xml:space="preserve">  ━━━  SEMAINE 3 — Make Expert + Projet Client Réel (Livraison + facturation)  ━━━</t>
        </is>
      </c>
      <c r="B16" s="12" t="n"/>
      <c r="C16" s="12" t="n"/>
      <c r="D16" s="12" t="n"/>
      <c r="E16" s="12" t="n"/>
      <c r="F16" s="12" t="n"/>
      <c r="G16" s="12" t="n"/>
      <c r="H16" s="12" t="n"/>
      <c r="I16" s="12" t="n"/>
      <c r="J16" s="12" t="n"/>
      <c r="K16" s="12" t="n"/>
      <c r="L16" s="12" t="n"/>
    </row>
    <row r="17" ht="60" customHeight="1">
      <c r="A17" s="86" t="n">
        <v>3</v>
      </c>
      <c r="B17" s="87" t="inlineStr">
        <is>
          <t>26/05</t>
        </is>
      </c>
      <c r="C17" s="87" t="inlineStr">
        <is>
          <t>Lun</t>
        </is>
      </c>
      <c r="D17" s="88" t="inlineStr">
        <is>
          <t>Make Expert — Routeurs &amp; Iterators</t>
        </is>
      </c>
      <c r="E17" s="89" t="inlineStr">
        <is>
          <t>Maîtriser les fonctionnalités avancées de Make</t>
        </is>
      </c>
      <c r="F17" s="90" t="inlineStr">
        <is>
          <t>1. Router : aiguiller selon conditions multiples
2. Iterator : traiter élément par élément
3. Aggregator : regrouper des résultats
4. Array Aggregator : construire des tableaux
5. Error handling avancé : ignore/resume/break
6. Exercice : traiter une liste de 50 leads</t>
        </is>
      </c>
      <c r="G17" s="91" t="inlineStr">
        <is>
          <t>Scénario Make traitant 50 leads avec routage et agrégation</t>
        </is>
      </c>
      <c r="H17" s="92" t="inlineStr">
        <is>
          <t>✗</t>
        </is>
      </c>
      <c r="I17" s="87" t="inlineStr">
        <is>
          <t>─</t>
        </is>
      </c>
      <c r="J17" s="87" t="inlineStr">
        <is>
          <t>3h</t>
        </is>
      </c>
      <c r="K17" s="87" t="inlineStr">
        <is>
          <t>20h-23h</t>
        </is>
      </c>
      <c r="L17" s="93" t="n"/>
    </row>
    <row r="18" ht="60" customHeight="1">
      <c r="A18" s="86" t="n">
        <v>3</v>
      </c>
      <c r="B18" s="87" t="inlineStr">
        <is>
          <t>27/05</t>
        </is>
      </c>
      <c r="C18" s="87" t="inlineStr">
        <is>
          <t>Mar</t>
        </is>
      </c>
      <c r="D18" s="88" t="inlineStr">
        <is>
          <t>Make — Architecture Multi-outils</t>
        </is>
      </c>
      <c r="E18" s="89" t="inlineStr">
        <is>
          <t>Décider de la meilleure architecture selon le cas</t>
        </is>
      </c>
      <c r="F18" s="90" t="inlineStr">
        <is>
          <t>1. Matrice de décision : n8n vs Make vs les deux
2. Cas où Make est meilleur que n8n (et vice versa)
3. Intégrations natives Make : Stripe, HubSpot, Slack
4. Construire un CRM léger : Make + Airtable + Gmail
5. Webhook bidirectionnel n8n ↔ Make
6. Performance et coûts : calculer le prix mensuel</t>
        </is>
      </c>
      <c r="G18" s="91" t="inlineStr">
        <is>
          <t>CRM automatisé Make + Airtable + Gmail fonctionnel</t>
        </is>
      </c>
      <c r="H18" s="92" t="inlineStr">
        <is>
          <t>✗</t>
        </is>
      </c>
      <c r="I18" s="87" t="inlineStr">
        <is>
          <t>─</t>
        </is>
      </c>
      <c r="J18" s="87" t="inlineStr">
        <is>
          <t>3h</t>
        </is>
      </c>
      <c r="K18" s="87" t="inlineStr">
        <is>
          <t>20h-23h</t>
        </is>
      </c>
      <c r="L18" s="93" t="n"/>
    </row>
    <row r="19" ht="60" customHeight="1">
      <c r="A19" s="86" t="n">
        <v>3</v>
      </c>
      <c r="B19" s="87" t="inlineStr">
        <is>
          <t>28/05</t>
        </is>
      </c>
      <c r="C19" s="87" t="inlineStr">
        <is>
          <t>Mer</t>
        </is>
      </c>
      <c r="D19" s="88" t="inlineStr">
        <is>
          <t>PROJET CLIENT NEXOR — Jour 1</t>
        </is>
      </c>
      <c r="E19" s="89" t="inlineStr">
        <is>
          <t>Démarrer l'exécution d'un vrai projet NEXOR</t>
        </is>
      </c>
      <c r="F19" s="90" t="inlineStr">
        <is>
          <t>1. Brief projet (définir avec Romaric)
2. Architecture technique : schéma de solution
3. Choix des outils (n8n / Make / Bubble / Claude)
4. Estimation temps et livrables
5. Commencer l'implémentation
6. Point d'avancement avec Romaric</t>
        </is>
      </c>
      <c r="G19" s="91" t="inlineStr">
        <is>
          <t>Architecture validée + 30% du projet implémenté</t>
        </is>
      </c>
      <c r="H19" s="92" t="inlineStr">
        <is>
          <t>✗</t>
        </is>
      </c>
      <c r="I19" s="87" t="inlineStr">
        <is>
          <t>─</t>
        </is>
      </c>
      <c r="J19" s="87" t="inlineStr">
        <is>
          <t>3h</t>
        </is>
      </c>
      <c r="K19" s="87" t="inlineStr">
        <is>
          <t>20h-23h</t>
        </is>
      </c>
      <c r="L19" s="93" t="n"/>
    </row>
    <row r="20" ht="60" customHeight="1">
      <c r="A20" s="86" t="n">
        <v>3</v>
      </c>
      <c r="B20" s="87" t="inlineStr">
        <is>
          <t>29/05</t>
        </is>
      </c>
      <c r="C20" s="87" t="inlineStr">
        <is>
          <t>Jeu</t>
        </is>
      </c>
      <c r="D20" s="88" t="inlineStr">
        <is>
          <t>PROJET CLIENT NEXOR — Jour 2</t>
        </is>
      </c>
      <c r="E20" s="89" t="inlineStr">
        <is>
          <t>Avancer et raffiner l'implémentation</t>
        </is>
      </c>
      <c r="F20" s="90" t="inlineStr">
        <is>
          <t>1. Suite de l'implémentation (80% objectif)
2. Tests avec données réelles du client
3. Gestion des cas d'erreur
4. Documentation technique (pour le client)
5. Préparation de la présentation
6. Point final avec Romaric</t>
        </is>
      </c>
      <c r="G20" s="91" t="inlineStr">
        <is>
          <t>Projet à 80% + documentation technique</t>
        </is>
      </c>
      <c r="H20" s="92" t="inlineStr">
        <is>
          <t>✗</t>
        </is>
      </c>
      <c r="I20" s="87" t="inlineStr">
        <is>
          <t>─</t>
        </is>
      </c>
      <c r="J20" s="87" t="inlineStr">
        <is>
          <t>3h</t>
        </is>
      </c>
      <c r="K20" s="87" t="inlineStr">
        <is>
          <t>20h-23h</t>
        </is>
      </c>
      <c r="L20" s="93" t="n"/>
    </row>
    <row r="21" ht="60" customHeight="1">
      <c r="A21" s="86" t="n">
        <v>3</v>
      </c>
      <c r="B21" s="87" t="inlineStr">
        <is>
          <t>30/05</t>
        </is>
      </c>
      <c r="C21" s="87" t="inlineStr">
        <is>
          <t>Ven</t>
        </is>
      </c>
      <c r="D21" s="88" t="inlineStr">
        <is>
          <t>LIVRABLE S3 — Projet Livré</t>
        </is>
      </c>
      <c r="E21" s="89" t="inlineStr">
        <is>
          <t>Finaliser et livrer le projet client</t>
        </is>
      </c>
      <c r="F21" s="90" t="inlineStr">
        <is>
          <t>1. Finaliser les 20% restants (45 min)
2. Tests finaux complets
3. Documentation utilisateur (guide pratique)
4. Présentation client (simulation)
5. Facturation : créer la facture NEXOR
6. Retour d'expérience : qu'est-ce qu'on ferait différemment ?</t>
        </is>
      </c>
      <c r="G21" s="91" t="inlineStr">
        <is>
          <t>Projet client livré + facture NEXOR émise</t>
        </is>
      </c>
      <c r="H21" s="92" t="inlineStr">
        <is>
          <t>✗</t>
        </is>
      </c>
      <c r="I21" s="87" t="inlineStr">
        <is>
          <t>─</t>
        </is>
      </c>
      <c r="J21" s="87" t="inlineStr">
        <is>
          <t>3h</t>
        </is>
      </c>
      <c r="K21" s="87" t="inlineStr">
        <is>
          <t>20h-23h</t>
        </is>
      </c>
      <c r="L21" s="93" t="n"/>
    </row>
    <row r="22" ht="24" customHeight="1">
      <c r="A22" s="71" t="inlineStr">
        <is>
          <t xml:space="preserve">  ━━━  SEMAINE 4 — Bubble.io Pro + Industrialisation (Autonomie totale)  ━━━</t>
        </is>
      </c>
      <c r="B22" s="12" t="n"/>
      <c r="C22" s="12" t="n"/>
      <c r="D22" s="12" t="n"/>
      <c r="E22" s="12" t="n"/>
      <c r="F22" s="12" t="n"/>
      <c r="G22" s="12" t="n"/>
      <c r="H22" s="12" t="n"/>
      <c r="I22" s="12" t="n"/>
      <c r="J22" s="12" t="n"/>
      <c r="K22" s="12" t="n"/>
      <c r="L22" s="12" t="n"/>
    </row>
    <row r="23" ht="60" customHeight="1">
      <c r="A23" s="94" t="n">
        <v>4</v>
      </c>
      <c r="B23" s="95" t="inlineStr">
        <is>
          <t>02/06</t>
        </is>
      </c>
      <c r="C23" s="95" t="inlineStr">
        <is>
          <t>Lun</t>
        </is>
      </c>
      <c r="D23" s="96" t="inlineStr">
        <is>
          <t>Bubble.io Avancé — API &amp; Données</t>
        </is>
      </c>
      <c r="E23" s="97" t="inlineStr">
        <is>
          <t>Construire des apps connectées à des APIs externes</t>
        </is>
      </c>
      <c r="F23" s="98" t="inlineStr">
        <is>
          <t>1. API Connector : configurer des calls complexes
2. Appeler Claude API depuis Bubble
3. Appeler n8n webhook depuis Bubble
4. Base de données Bubble : relations, privacy rules
5. Repeating Group : listes dynamiques
6. Exercice : dashboard avec données live</t>
        </is>
      </c>
      <c r="G23" s="99" t="inlineStr">
        <is>
          <t>Dashboard Bubble avec données live via API</t>
        </is>
      </c>
      <c r="H23" s="100" t="inlineStr">
        <is>
          <t>✗</t>
        </is>
      </c>
      <c r="I23" s="95" t="inlineStr">
        <is>
          <t>─</t>
        </is>
      </c>
      <c r="J23" s="95" t="inlineStr">
        <is>
          <t>3h</t>
        </is>
      </c>
      <c r="K23" s="95" t="inlineStr">
        <is>
          <t>20h-23h</t>
        </is>
      </c>
      <c r="L23" s="101" t="n"/>
    </row>
    <row r="24" ht="60" customHeight="1">
      <c r="A24" s="94" t="n">
        <v>4</v>
      </c>
      <c r="B24" s="95" t="inlineStr">
        <is>
          <t>03/06</t>
        </is>
      </c>
      <c r="C24" s="95" t="inlineStr">
        <is>
          <t>Mar</t>
        </is>
      </c>
      <c r="D24" s="96" t="inlineStr">
        <is>
          <t>WifiAudit AI — Interface Front-End</t>
        </is>
      </c>
      <c r="E24" s="97" t="inlineStr">
        <is>
          <t>Construire l'interface client de WifiAudit AI</t>
        </is>
      </c>
      <c r="F24" s="98" t="inlineStr">
        <is>
          <t>1. Pages : upload, résultats, historique, profil
2. Upload de fichier : connecter au backend FastAPI
3. Afficher les scores RF : progress bars, couleurs
4. Graphiques : plugin Chart.js dans Bubble
5. Export PDF depuis l'interface
6. Responsive mobile</t>
        </is>
      </c>
      <c r="G24" s="99" t="inlineStr">
        <is>
          <t>Interface WifiAudit AI fonctionnelle dans Bubble</t>
        </is>
      </c>
      <c r="H24" s="100" t="inlineStr">
        <is>
          <t>✗</t>
        </is>
      </c>
      <c r="I24" s="95" t="inlineStr">
        <is>
          <t>─</t>
        </is>
      </c>
      <c r="J24" s="95" t="inlineStr">
        <is>
          <t>3h</t>
        </is>
      </c>
      <c r="K24" s="95" t="inlineStr">
        <is>
          <t>20h-23h</t>
        </is>
      </c>
      <c r="L24" s="101" t="n"/>
    </row>
    <row r="25" ht="60" customHeight="1">
      <c r="A25" s="94" t="n">
        <v>4</v>
      </c>
      <c r="B25" s="95" t="inlineStr">
        <is>
          <t>04/06</t>
        </is>
      </c>
      <c r="C25" s="95" t="inlineStr">
        <is>
          <t>Mer</t>
        </is>
      </c>
      <c r="D25" s="96" t="inlineStr">
        <is>
          <t>Bubble.io — Stripe &amp; Abonnements</t>
        </is>
      </c>
      <c r="E25" s="97" t="inlineStr">
        <is>
          <t>Intégrer les paiements dans une app Bubble</t>
        </is>
      </c>
      <c r="F25" s="98" t="inlineStr">
        <is>
          <t>1. Plugin Stripe dans Bubble
2. Créer les 3 plans (Starter/Pro/Enterprise)
3. Gestion des abonnements : start, cancel, upgrade
4. Webhook Stripe → mise à jour statut client
5. Espace membre sécurisé selon abonnement
6. Test complet du checkout</t>
        </is>
      </c>
      <c r="G25" s="99" t="inlineStr">
        <is>
          <t>Checkout Stripe fonctionnel dans WifiAudit interface</t>
        </is>
      </c>
      <c r="H25" s="100" t="inlineStr">
        <is>
          <t>✗</t>
        </is>
      </c>
      <c r="I25" s="95" t="inlineStr">
        <is>
          <t>─</t>
        </is>
      </c>
      <c r="J25" s="95" t="inlineStr">
        <is>
          <t>3h</t>
        </is>
      </c>
      <c r="K25" s="95" t="inlineStr">
        <is>
          <t>20h-23h</t>
        </is>
      </c>
      <c r="L25" s="101" t="n"/>
    </row>
    <row r="26" ht="60" customHeight="1">
      <c r="A26" s="94" t="n">
        <v>4</v>
      </c>
      <c r="B26" s="95" t="inlineStr">
        <is>
          <t>05/06</t>
        </is>
      </c>
      <c r="C26" s="95" t="inlineStr">
        <is>
          <t>Jeu</t>
        </is>
      </c>
      <c r="D26" s="96" t="inlineStr">
        <is>
          <t>Industrialisation — Documenter &amp; Scaler</t>
        </is>
      </c>
      <c r="E26" s="97" t="inlineStr">
        <is>
          <t>Transformer une compétence en produit vendable</t>
        </is>
      </c>
      <c r="F26" s="98" t="inlineStr">
        <is>
          <t>1. Template de projet : checklist démarrage client
2. Estimation systématique : grille de tarification
3. Contrat type pour projets NoCode
4. Onboarding client : guide 'comment utiliser'
5. Maintenance et support : procédures
6. Portfolio : documenter les 3 meilleurs projets</t>
        </is>
      </c>
      <c r="G26" s="99" t="inlineStr">
        <is>
          <t>Grille de tarification + 3 fiches projet portfolio</t>
        </is>
      </c>
      <c r="H26" s="100" t="inlineStr">
        <is>
          <t>✗</t>
        </is>
      </c>
      <c r="I26" s="95" t="inlineStr">
        <is>
          <t>─</t>
        </is>
      </c>
      <c r="J26" s="95" t="inlineStr">
        <is>
          <t>3h</t>
        </is>
      </c>
      <c r="K26" s="95" t="inlineStr">
        <is>
          <t>20h-23h</t>
        </is>
      </c>
      <c r="L26" s="101" t="n"/>
    </row>
    <row r="27" ht="60" customHeight="1">
      <c r="A27" s="94" t="n">
        <v>4</v>
      </c>
      <c r="B27" s="95" t="inlineStr">
        <is>
          <t>06/06</t>
        </is>
      </c>
      <c r="C27" s="95" t="inlineStr">
        <is>
          <t>Ven</t>
        </is>
      </c>
      <c r="D27" s="96" t="inlineStr">
        <is>
          <t>LIVRABLE FINAL — Autonomie Totale</t>
        </is>
      </c>
      <c r="E27" s="97" t="inlineStr">
        <is>
          <t>Valider l'autonomie complète sur tous les outils</t>
        </is>
      </c>
      <c r="F27" s="98" t="inlineStr">
        <is>
          <t>1. Exercice surprise : construire un workflow inconnu
2. Sans aide, en 90 minutes
3. Présentation du travail de 4 semaines
4. Démo combinée : n8n + Claude + Make + Bubble
5. Bilan : forces, lacunes, prochaines étapes
6. Définir le plan de progression mois 2</t>
        </is>
      </c>
      <c r="G27" s="99" t="inlineStr">
        <is>
          <t>Démo finale 20 min + rapport d'évaluation complet</t>
        </is>
      </c>
      <c r="H27" s="100" t="inlineStr">
        <is>
          <t>✗</t>
        </is>
      </c>
      <c r="I27" s="95" t="inlineStr">
        <is>
          <t>─</t>
        </is>
      </c>
      <c r="J27" s="95" t="inlineStr">
        <is>
          <t>3h</t>
        </is>
      </c>
      <c r="K27" s="95" t="inlineStr">
        <is>
          <t>20h-23h</t>
        </is>
      </c>
      <c r="L27" s="101" t="n"/>
    </row>
    <row r="28">
      <c r="A28" s="12" t="n"/>
      <c r="B28" s="12" t="n"/>
      <c r="C28" s="12" t="n"/>
      <c r="D28" s="12" t="n"/>
      <c r="E28" s="12" t="n"/>
      <c r="F28" s="12" t="n"/>
      <c r="G28" s="12" t="n"/>
      <c r="H28" s="12" t="n"/>
      <c r="I28" s="12" t="n"/>
      <c r="J28" s="12" t="n"/>
      <c r="K28" s="12" t="n"/>
      <c r="L28" s="12" t="n"/>
    </row>
  </sheetData>
  <mergeCells count="6">
    <mergeCell ref="A2:L2"/>
    <mergeCell ref="A16:L16"/>
    <mergeCell ref="A10:L10"/>
    <mergeCell ref="A1:L1"/>
    <mergeCell ref="A22:L22"/>
    <mergeCell ref="A4:L4"/>
  </mergeCells>
  <conditionalFormatting sqref="A4:L28">
    <cfRule type="expression" priority="1" dxfId="0">
      <formula>$H4="✓"</formula>
    </cfRule>
  </conditionalFormatting>
  <dataValidations count="1">
    <dataValidation sqref="H4:H100" showDropDown="0" showInputMessage="0" showErrorMessage="0" allowBlank="1" type="list">
      <formula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0"/>
  <sheetViews>
    <sheetView showGridLines="0" workbookViewId="0">
      <selection activeCell="A1" sqref="A1"/>
    </sheetView>
  </sheetViews>
  <sheetFormatPr baseColWidth="8" defaultRowHeight="15"/>
  <cols>
    <col width="12" customWidth="1" min="1" max="1"/>
    <col width="10" customWidth="1" min="2" max="2"/>
    <col width="12" customWidth="1" min="3" max="3"/>
    <col width="40" customWidth="1" min="4" max="4"/>
    <col width="8" customWidth="1" min="5" max="5"/>
    <col width="16" customWidth="1" min="6" max="6"/>
    <col width="20" customWidth="1" min="7" max="7"/>
    <col width="30" customWidth="1" min="8" max="8"/>
    <col width="25" customWidth="1" min="9" max="9"/>
  </cols>
  <sheetData>
    <row r="1" ht="32" customHeight="1">
      <c r="A1" s="20" t="inlineStr">
        <is>
          <t>🚀  ROMARIC — Weekends NEXOR + NoCode Perso  ·  8h-12h &amp; 19h-23h</t>
        </is>
      </c>
    </row>
    <row r="2" ht="22" customHeight="1">
      <c r="A2" s="102" t="inlineStr">
        <is>
          <t>Date</t>
        </is>
      </c>
      <c r="B2" s="102" t="inlineStr">
        <is>
          <t>Jour</t>
        </is>
      </c>
      <c r="C2" s="102" t="inlineStr">
        <is>
          <t>Bloc</t>
        </is>
      </c>
      <c r="D2" s="102" t="inlineStr">
        <is>
          <t>Activité principale</t>
        </is>
      </c>
      <c r="E2" s="102" t="inlineStr">
        <is>
          <t>✅</t>
        </is>
      </c>
      <c r="F2" s="102" t="inlineStr">
        <is>
          <t>CA généré (€)</t>
        </is>
      </c>
      <c r="G2" s="102" t="inlineStr">
        <is>
          <t>Prospects contactés</t>
        </is>
      </c>
      <c r="H2" s="102" t="inlineStr">
        <is>
          <t>Livrables</t>
        </is>
      </c>
      <c r="I2" s="102" t="inlineStr">
        <is>
          <t>Notes</t>
        </is>
      </c>
    </row>
    <row r="3" ht="36" customHeight="1">
      <c r="A3" s="103" t="inlineStr">
        <is>
          <t>16/05</t>
        </is>
      </c>
      <c r="B3" s="104" t="inlineStr">
        <is>
          <t>Sam</t>
        </is>
      </c>
      <c r="C3" s="105" t="inlineStr">
        <is>
          <t>8h-12h</t>
        </is>
      </c>
      <c r="D3" s="106" t="inlineStr">
        <is>
          <t>Bilan S1 + Prépa cours S2 (Alegria/Théo) + 20 prospects LinkedIn contactés</t>
        </is>
      </c>
      <c r="E3" s="107" t="inlineStr">
        <is>
          <t>✗</t>
        </is>
      </c>
      <c r="F3" s="108" t="n"/>
      <c r="G3" s="108" t="n"/>
      <c r="H3" s="108" t="n"/>
      <c r="I3" s="108" t="n"/>
    </row>
    <row r="4" ht="36" customHeight="1">
      <c r="A4" s="109" t="inlineStr">
        <is>
          <t>16/05</t>
        </is>
      </c>
      <c r="B4" s="31" t="inlineStr">
        <is>
          <t>Sam</t>
        </is>
      </c>
      <c r="C4" s="110" t="inlineStr">
        <is>
          <t>19h-23h</t>
        </is>
      </c>
      <c r="D4" s="111" t="inlineStr">
        <is>
          <t>NoCode perso : reproduire les workflows de la semaine + Morning Content Workflow v1</t>
        </is>
      </c>
      <c r="E4" s="112" t="inlineStr">
        <is>
          <t>✗</t>
        </is>
      </c>
      <c r="F4" s="113" t="n"/>
      <c r="G4" s="113" t="n"/>
      <c r="H4" s="113" t="n"/>
      <c r="I4" s="113" t="n"/>
    </row>
    <row r="5" ht="36" customHeight="1">
      <c r="A5" s="109" t="inlineStr">
        <is>
          <t>17/05</t>
        </is>
      </c>
      <c r="B5" s="31" t="inlineStr">
        <is>
          <t>Dim</t>
        </is>
      </c>
      <c r="C5" s="105" t="inlineStr">
        <is>
          <t>8h-12h</t>
        </is>
      </c>
      <c r="D5" s="111" t="inlineStr">
        <is>
          <t>Deep work NoCode : LangChain intro + WifiAudit AI : parse_catc_export.py</t>
        </is>
      </c>
      <c r="E5" s="112" t="inlineStr">
        <is>
          <t>✗</t>
        </is>
      </c>
      <c r="F5" s="113" t="n"/>
      <c r="G5" s="113" t="n"/>
      <c r="H5" s="113" t="n"/>
      <c r="I5" s="113" t="n"/>
    </row>
    <row r="6" ht="36" customHeight="1">
      <c r="A6" s="103" t="inlineStr">
        <is>
          <t>17/05</t>
        </is>
      </c>
      <c r="B6" s="104" t="inlineStr">
        <is>
          <t>Dim</t>
        </is>
      </c>
      <c r="C6" s="110" t="inlineStr">
        <is>
          <t>19h-23h</t>
        </is>
      </c>
      <c r="D6" s="106" t="inlineStr">
        <is>
          <t>Bilan semaine 1 + plan S2 + trésorerie + relances prospects</t>
        </is>
      </c>
      <c r="E6" s="107" t="inlineStr">
        <is>
          <t>✗</t>
        </is>
      </c>
      <c r="F6" s="108" t="n"/>
      <c r="G6" s="108" t="n"/>
      <c r="H6" s="108" t="n"/>
      <c r="I6" s="108" t="n"/>
    </row>
    <row r="7" ht="36" customHeight="1">
      <c r="A7" s="103" t="inlineStr">
        <is>
          <t>23/05</t>
        </is>
      </c>
      <c r="B7" s="104" t="inlineStr">
        <is>
          <t>Sam</t>
        </is>
      </c>
      <c r="C7" s="105" t="inlineStr">
        <is>
          <t>8h-12h</t>
        </is>
      </c>
      <c r="D7" s="106" t="inlineStr">
        <is>
          <t>NEXOR : affiner l'offre + 30 nouveaux contacts LinkedIn + 5 emails qualifiés</t>
        </is>
      </c>
      <c r="E7" s="107" t="inlineStr">
        <is>
          <t>✗</t>
        </is>
      </c>
      <c r="F7" s="108" t="n"/>
      <c r="G7" s="108" t="n"/>
      <c r="H7" s="108" t="n"/>
      <c r="I7" s="108" t="n"/>
    </row>
    <row r="8" ht="36" customHeight="1">
      <c r="A8" s="109" t="inlineStr">
        <is>
          <t>23/05</t>
        </is>
      </c>
      <c r="B8" s="31" t="inlineStr">
        <is>
          <t>Sam</t>
        </is>
      </c>
      <c r="C8" s="110" t="inlineStr">
        <is>
          <t>19h-23h</t>
        </is>
      </c>
      <c r="D8" s="111" t="inlineStr">
        <is>
          <t>Construire la démo NEXOR Network Intelligence (n8n + CatC + rapport PDF)</t>
        </is>
      </c>
      <c r="E8" s="112" t="inlineStr">
        <is>
          <t>✗</t>
        </is>
      </c>
      <c r="F8" s="113" t="n"/>
      <c r="G8" s="113" t="n"/>
      <c r="H8" s="113" t="n"/>
      <c r="I8" s="113" t="n"/>
    </row>
    <row r="9" ht="36" customHeight="1">
      <c r="A9" s="109" t="inlineStr">
        <is>
          <t>24/05</t>
        </is>
      </c>
      <c r="B9" s="31" t="inlineStr">
        <is>
          <t>Dim</t>
        </is>
      </c>
      <c r="C9" s="105" t="inlineStr">
        <is>
          <t>8h-12h</t>
        </is>
      </c>
      <c r="D9" s="111" t="inlineStr">
        <is>
          <t>Deep work : Agents IA + WifiAudit scoring RF + entretien prospect si dispo</t>
        </is>
      </c>
      <c r="E9" s="112" t="inlineStr">
        <is>
          <t>✗</t>
        </is>
      </c>
      <c r="F9" s="113" t="n"/>
      <c r="G9" s="113" t="n"/>
      <c r="H9" s="113" t="n"/>
      <c r="I9" s="113" t="n"/>
    </row>
    <row r="10" ht="36" customHeight="1">
      <c r="A10" s="103" t="inlineStr">
        <is>
          <t>24/05</t>
        </is>
      </c>
      <c r="B10" s="104" t="inlineStr">
        <is>
          <t>Dim</t>
        </is>
      </c>
      <c r="C10" s="110" t="inlineStr">
        <is>
          <t>19h-23h</t>
        </is>
      </c>
      <c r="D10" s="106" t="inlineStr">
        <is>
          <t>Proposition commerciale NEXOR + suivi contrat en cours + plan S3</t>
        </is>
      </c>
      <c r="E10" s="107" t="inlineStr">
        <is>
          <t>✗</t>
        </is>
      </c>
      <c r="F10" s="108" t="n"/>
      <c r="G10" s="108" t="n"/>
      <c r="H10" s="108" t="n"/>
      <c r="I10" s="108" t="n"/>
    </row>
    <row r="11" ht="36" customHeight="1">
      <c r="A11" s="103" t="inlineStr">
        <is>
          <t>30/05</t>
        </is>
      </c>
      <c r="B11" s="104" t="inlineStr">
        <is>
          <t>Sam</t>
        </is>
      </c>
      <c r="C11" s="105" t="inlineStr">
        <is>
          <t>8h-12h</t>
        </is>
      </c>
      <c r="D11" s="106" t="inlineStr">
        <is>
          <t>NEXOR : relances + nouveaux contacts + prép démo semaine + contenu LinkedIn 2 posts</t>
        </is>
      </c>
      <c r="E11" s="107" t="inlineStr">
        <is>
          <t>✗</t>
        </is>
      </c>
      <c r="F11" s="108" t="n"/>
      <c r="G11" s="108" t="n"/>
      <c r="H11" s="108" t="n"/>
      <c r="I11" s="108" t="n"/>
    </row>
    <row r="12" ht="36" customHeight="1">
      <c r="A12" s="109" t="inlineStr">
        <is>
          <t>30/05</t>
        </is>
      </c>
      <c r="B12" s="31" t="inlineStr">
        <is>
          <t>Sam</t>
        </is>
      </c>
      <c r="C12" s="110" t="inlineStr">
        <is>
          <t>19h-23h</t>
        </is>
      </c>
      <c r="D12" s="111" t="inlineStr">
        <is>
          <t>Construire Make + connecter pipeline commercial NEXOR complet</t>
        </is>
      </c>
      <c r="E12" s="112" t="inlineStr">
        <is>
          <t>✗</t>
        </is>
      </c>
      <c r="F12" s="113" t="n"/>
      <c r="G12" s="113" t="n"/>
      <c r="H12" s="113" t="n"/>
      <c r="I12" s="113" t="n"/>
    </row>
    <row r="13" ht="36" customHeight="1">
      <c r="A13" s="109" t="inlineStr">
        <is>
          <t>31/05</t>
        </is>
      </c>
      <c r="B13" s="31" t="inlineStr">
        <is>
          <t>Dim</t>
        </is>
      </c>
      <c r="C13" s="105" t="inlineStr">
        <is>
          <t>8h-12h</t>
        </is>
      </c>
      <c r="D13" s="111" t="inlineStr">
        <is>
          <t>Bubble.io : démarrer interface WifiAudit AI + Deep work perso</t>
        </is>
      </c>
      <c r="E13" s="112" t="inlineStr">
        <is>
          <t>✗</t>
        </is>
      </c>
      <c r="F13" s="113" t="n"/>
      <c r="G13" s="113" t="n"/>
      <c r="H13" s="113" t="n"/>
      <c r="I13" s="113" t="n"/>
    </row>
    <row r="14" ht="36" customHeight="1">
      <c r="A14" s="103" t="inlineStr">
        <is>
          <t>31/05</t>
        </is>
      </c>
      <c r="B14" s="104" t="inlineStr">
        <is>
          <t>Dim</t>
        </is>
      </c>
      <c r="C14" s="110" t="inlineStr">
        <is>
          <t>19h-23h</t>
        </is>
      </c>
      <c r="D14" s="106" t="inlineStr">
        <is>
          <t>Bilan mai complet + plan juin + trésorerie ORNET + contact avocat</t>
        </is>
      </c>
      <c r="E14" s="107" t="inlineStr">
        <is>
          <t>✗</t>
        </is>
      </c>
      <c r="F14" s="108" t="n"/>
      <c r="G14" s="108" t="n"/>
      <c r="H14" s="108" t="n"/>
      <c r="I14" s="108" t="n"/>
    </row>
    <row r="15" ht="36" customHeight="1">
      <c r="A15" s="103" t="inlineStr">
        <is>
          <t>06/06</t>
        </is>
      </c>
      <c r="B15" s="104" t="inlineStr">
        <is>
          <t>Sam</t>
        </is>
      </c>
      <c r="C15" s="105" t="inlineStr">
        <is>
          <t>8h-12h</t>
        </is>
      </c>
      <c r="D15" s="106" t="inlineStr">
        <is>
          <t>NEXOR : signer un contrat ce weekend (objectif) + onboarding client si signé</t>
        </is>
      </c>
      <c r="E15" s="107" t="inlineStr">
        <is>
          <t>✗</t>
        </is>
      </c>
      <c r="F15" s="108" t="n"/>
      <c r="G15" s="108" t="n"/>
      <c r="H15" s="108" t="n"/>
      <c r="I15" s="108" t="n"/>
    </row>
    <row r="16" ht="36" customHeight="1">
      <c r="A16" s="109" t="inlineStr">
        <is>
          <t>06/06</t>
        </is>
      </c>
      <c r="B16" s="31" t="inlineStr">
        <is>
          <t>Sam</t>
        </is>
      </c>
      <c r="C16" s="110" t="inlineStr">
        <is>
          <t>19h-23h</t>
        </is>
      </c>
      <c r="D16" s="111" t="inlineStr">
        <is>
          <t>Livraison projet client ou WifiAudit v1 : Stripe + interface Bubble</t>
        </is>
      </c>
      <c r="E16" s="112" t="inlineStr">
        <is>
          <t>✗</t>
        </is>
      </c>
      <c r="F16" s="113" t="n"/>
      <c r="G16" s="113" t="n"/>
      <c r="H16" s="113" t="n"/>
      <c r="I16" s="113" t="n"/>
    </row>
    <row r="17" ht="36" customHeight="1">
      <c r="A17" s="109" t="inlineStr">
        <is>
          <t>07/06</t>
        </is>
      </c>
      <c r="B17" s="31" t="inlineStr">
        <is>
          <t>Dim</t>
        </is>
      </c>
      <c r="C17" s="105" t="inlineStr">
        <is>
          <t>8h-12h</t>
        </is>
      </c>
      <c r="D17" s="111" t="inlineStr">
        <is>
          <t>Deep work : Bubble avancé + optimisations WifiAudit + post LinkedIn technique</t>
        </is>
      </c>
      <c r="E17" s="112" t="inlineStr">
        <is>
          <t>✗</t>
        </is>
      </c>
      <c r="F17" s="113" t="n"/>
      <c r="G17" s="113" t="n"/>
      <c r="H17" s="113" t="n"/>
      <c r="I17" s="113" t="n"/>
    </row>
    <row r="18" ht="36" customHeight="1">
      <c r="A18" s="103" t="inlineStr">
        <is>
          <t>07/06</t>
        </is>
      </c>
      <c r="B18" s="104" t="inlineStr">
        <is>
          <t>Dim</t>
        </is>
      </c>
      <c r="C18" s="110" t="inlineStr">
        <is>
          <t>19h-23h</t>
        </is>
      </c>
      <c r="D18" s="106" t="inlineStr">
        <is>
          <t>Bilan formation 4 semaines + évaluation Alegria/Théo + plan mois 2</t>
        </is>
      </c>
      <c r="E18" s="107" t="inlineStr">
        <is>
          <t>✗</t>
        </is>
      </c>
      <c r="F18" s="108" t="n"/>
      <c r="G18" s="108" t="n"/>
      <c r="H18" s="108" t="n"/>
      <c r="I18" s="108" t="n"/>
    </row>
    <row r="20">
      <c r="A20" s="114" t="inlineStr">
        <is>
          <t>TOTAL CA GÉNÉRÉ SUR LES WEEKENDS</t>
        </is>
      </c>
      <c r="F20" s="115">
        <f>SUM(F3:F18)</f>
        <v/>
      </c>
    </row>
  </sheetData>
  <mergeCells count="2">
    <mergeCell ref="A1:K1"/>
    <mergeCell ref="A20:E20"/>
  </mergeCells>
  <conditionalFormatting sqref="A3:I18">
    <cfRule type="expression" priority="1" dxfId="0">
      <formula>$E3="✓"</formula>
    </cfRule>
  </conditionalFormatting>
  <dataValidations count="1">
    <dataValidation sqref="E3:E50" showDropDown="0" showInputMessage="0" showErrorMessage="0" allowBlank="1" type="list">
      <formula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9"/>
  <sheetViews>
    <sheetView showGridLines="0" workbookViewId="0">
      <selection activeCell="A1" sqref="A1"/>
    </sheetView>
  </sheetViews>
  <sheetFormatPr baseColWidth="8" defaultRowHeight="15"/>
  <cols>
    <col width="12" customWidth="1" min="1" max="1"/>
    <col width="15" customWidth="1" min="2" max="2"/>
    <col width="18" customWidth="1" min="3" max="3"/>
    <col width="18" customWidth="1" min="4" max="4"/>
    <col width="14" customWidth="1" min="5" max="5"/>
    <col width="15" customWidth="1" min="6" max="6"/>
    <col width="16" customWidth="1" min="7" max="7"/>
    <col width="16" customWidth="1" min="8" max="8"/>
    <col width="30" customWidth="1" min="9" max="9"/>
    <col width="14" customWidth="1" min="10" max="10"/>
    <col width="25" customWidth="1" min="11" max="11"/>
  </cols>
  <sheetData>
    <row r="1" ht="32" customHeight="1">
      <c r="A1" s="116" t="inlineStr">
        <is>
          <t>🚀  NEXOR ADVISORY — Pipeline Commercial &amp; Trésorerie</t>
        </is>
      </c>
    </row>
    <row r="2" ht="22" customHeight="1">
      <c r="A2" s="117" t="inlineStr">
        <is>
          <t xml:space="preserve">  PROSPECTS &amp; OPPORTUNITÉS</t>
        </is>
      </c>
    </row>
    <row r="3" ht="22" customHeight="1">
      <c r="A3" s="118" t="inlineStr">
        <is>
          <t>Prospect</t>
        </is>
      </c>
      <c r="B3" s="118" t="inlineStr">
        <is>
          <t>Société</t>
        </is>
      </c>
      <c r="C3" s="118" t="inlineStr">
        <is>
          <t>Poste</t>
        </is>
      </c>
      <c r="D3" s="118" t="inlineStr">
        <is>
          <t>Offre ciblée</t>
        </is>
      </c>
      <c r="E3" s="118" t="inlineStr">
        <is>
          <t>Statut</t>
        </is>
      </c>
      <c r="F3" s="118" t="inlineStr">
        <is>
          <t>Montant €</t>
        </is>
      </c>
      <c r="G3" s="118" t="inlineStr">
        <is>
          <t>Date contact</t>
        </is>
      </c>
      <c r="H3" s="118" t="inlineStr">
        <is>
          <t>Prochaine action</t>
        </is>
      </c>
      <c r="I3" s="118" t="inlineStr">
        <is>
          <t>Probabilité %</t>
        </is>
      </c>
      <c r="J3" s="118" t="inlineStr">
        <is>
          <t>CA pondéré €</t>
        </is>
      </c>
      <c r="K3" s="118" t="inlineStr">
        <is>
          <t>Notes</t>
        </is>
      </c>
    </row>
    <row r="4" ht="22" customHeight="1">
      <c r="A4" s="119" t="n"/>
      <c r="B4" s="119" t="n"/>
      <c r="C4" s="119" t="n"/>
      <c r="D4" s="119" t="n"/>
      <c r="E4" s="119" t="n"/>
      <c r="F4" s="119" t="n"/>
      <c r="G4" s="119" t="n"/>
      <c r="H4" s="119" t="n"/>
      <c r="I4" s="119" t="n"/>
      <c r="J4" s="120">
        <f>IFERROR(F4*H4/100,0)</f>
        <v/>
      </c>
      <c r="K4" s="119" t="n"/>
    </row>
    <row r="5" ht="22" customHeight="1">
      <c r="A5" s="121" t="n"/>
      <c r="B5" s="121" t="n"/>
      <c r="C5" s="121" t="n"/>
      <c r="D5" s="121" t="n"/>
      <c r="E5" s="121" t="n"/>
      <c r="F5" s="121" t="n"/>
      <c r="G5" s="121" t="n"/>
      <c r="H5" s="121" t="n"/>
      <c r="I5" s="121" t="n"/>
      <c r="J5" s="122">
        <f>IFERROR(F5*H5/100,0)</f>
        <v/>
      </c>
      <c r="K5" s="121" t="n"/>
    </row>
    <row r="6" ht="22" customHeight="1">
      <c r="A6" s="119" t="n"/>
      <c r="B6" s="119" t="n"/>
      <c r="C6" s="119" t="n"/>
      <c r="D6" s="119" t="n"/>
      <c r="E6" s="119" t="n"/>
      <c r="F6" s="119" t="n"/>
      <c r="G6" s="119" t="n"/>
      <c r="H6" s="119" t="n"/>
      <c r="I6" s="119" t="n"/>
      <c r="J6" s="120">
        <f>IFERROR(F6*H6/100,0)</f>
        <v/>
      </c>
      <c r="K6" s="119" t="n"/>
    </row>
    <row r="7" ht="22" customHeight="1">
      <c r="A7" s="121" t="n"/>
      <c r="B7" s="121" t="n"/>
      <c r="C7" s="121" t="n"/>
      <c r="D7" s="121" t="n"/>
      <c r="E7" s="121" t="n"/>
      <c r="F7" s="121" t="n"/>
      <c r="G7" s="121" t="n"/>
      <c r="H7" s="121" t="n"/>
      <c r="I7" s="121" t="n"/>
      <c r="J7" s="122">
        <f>IFERROR(F7*H7/100,0)</f>
        <v/>
      </c>
      <c r="K7" s="121" t="n"/>
    </row>
    <row r="8" ht="22" customHeight="1">
      <c r="A8" s="119" t="n"/>
      <c r="B8" s="119" t="n"/>
      <c r="C8" s="119" t="n"/>
      <c r="D8" s="119" t="n"/>
      <c r="E8" s="119" t="n"/>
      <c r="F8" s="119" t="n"/>
      <c r="G8" s="119" t="n"/>
      <c r="H8" s="119" t="n"/>
      <c r="I8" s="119" t="n"/>
      <c r="J8" s="120">
        <f>IFERROR(F8*H8/100,0)</f>
        <v/>
      </c>
      <c r="K8" s="119" t="n"/>
    </row>
    <row r="9" ht="22" customHeight="1">
      <c r="A9" s="121" t="n"/>
      <c r="B9" s="121" t="n"/>
      <c r="C9" s="121" t="n"/>
      <c r="D9" s="121" t="n"/>
      <c r="E9" s="121" t="n"/>
      <c r="F9" s="121" t="n"/>
      <c r="G9" s="121" t="n"/>
      <c r="H9" s="121" t="n"/>
      <c r="I9" s="121" t="n"/>
      <c r="J9" s="122">
        <f>IFERROR(F9*H9/100,0)</f>
        <v/>
      </c>
      <c r="K9" s="121" t="n"/>
    </row>
    <row r="10" ht="22" customHeight="1">
      <c r="A10" s="119" t="n"/>
      <c r="B10" s="119" t="n"/>
      <c r="C10" s="119" t="n"/>
      <c r="D10" s="119" t="n"/>
      <c r="E10" s="119" t="n"/>
      <c r="F10" s="119" t="n"/>
      <c r="G10" s="119" t="n"/>
      <c r="H10" s="119" t="n"/>
      <c r="I10" s="119" t="n"/>
      <c r="J10" s="120">
        <f>IFERROR(F10*H10/100,0)</f>
        <v/>
      </c>
      <c r="K10" s="119" t="n"/>
    </row>
    <row r="11" ht="22" customHeight="1">
      <c r="A11" s="121" t="n"/>
      <c r="B11" s="121" t="n"/>
      <c r="C11" s="121" t="n"/>
      <c r="D11" s="121" t="n"/>
      <c r="E11" s="121" t="n"/>
      <c r="F11" s="121" t="n"/>
      <c r="G11" s="121" t="n"/>
      <c r="H11" s="121" t="n"/>
      <c r="I11" s="121" t="n"/>
      <c r="J11" s="122">
        <f>IFERROR(F11*H11/100,0)</f>
        <v/>
      </c>
      <c r="K11" s="121" t="n"/>
    </row>
    <row r="12" ht="22" customHeight="1">
      <c r="A12" s="119" t="n"/>
      <c r="B12" s="119" t="n"/>
      <c r="C12" s="119" t="n"/>
      <c r="D12" s="119" t="n"/>
      <c r="E12" s="119" t="n"/>
      <c r="F12" s="119" t="n"/>
      <c r="G12" s="119" t="n"/>
      <c r="H12" s="119" t="n"/>
      <c r="I12" s="119" t="n"/>
      <c r="J12" s="120">
        <f>IFERROR(F12*H12/100,0)</f>
        <v/>
      </c>
      <c r="K12" s="119" t="n"/>
    </row>
    <row r="13" ht="22" customHeight="1">
      <c r="A13" s="121" t="n"/>
      <c r="B13" s="121" t="n"/>
      <c r="C13" s="121" t="n"/>
      <c r="D13" s="121" t="n"/>
      <c r="E13" s="121" t="n"/>
      <c r="F13" s="121" t="n"/>
      <c r="G13" s="121" t="n"/>
      <c r="H13" s="121" t="n"/>
      <c r="I13" s="121" t="n"/>
      <c r="J13" s="122">
        <f>IFERROR(F13*H13/100,0)</f>
        <v/>
      </c>
      <c r="K13" s="121" t="n"/>
    </row>
    <row r="14" ht="22" customHeight="1">
      <c r="A14" s="119" t="n"/>
      <c r="B14" s="119" t="n"/>
      <c r="C14" s="119" t="n"/>
      <c r="D14" s="119" t="n"/>
      <c r="E14" s="119" t="n"/>
      <c r="F14" s="119" t="n"/>
      <c r="G14" s="119" t="n"/>
      <c r="H14" s="119" t="n"/>
      <c r="I14" s="119" t="n"/>
      <c r="J14" s="120">
        <f>IFERROR(F14*H14/100,0)</f>
        <v/>
      </c>
      <c r="K14" s="119" t="n"/>
    </row>
    <row r="15" ht="22" customHeight="1">
      <c r="A15" s="121" t="n"/>
      <c r="B15" s="121" t="n"/>
      <c r="C15" s="121" t="n"/>
      <c r="D15" s="121" t="n"/>
      <c r="E15" s="121" t="n"/>
      <c r="F15" s="121" t="n"/>
      <c r="G15" s="121" t="n"/>
      <c r="H15" s="121" t="n"/>
      <c r="I15" s="121" t="n"/>
      <c r="J15" s="122">
        <f>IFERROR(F15*H15/100,0)</f>
        <v/>
      </c>
      <c r="K15" s="121" t="n"/>
    </row>
    <row r="16">
      <c r="A16" s="123" t="inlineStr">
        <is>
          <t>TOTAL PIPELINE</t>
        </is>
      </c>
      <c r="F16" s="124">
        <f>SUM(F4:F15)</f>
        <v/>
      </c>
      <c r="J16" s="124">
        <f>SUM(J4:J15)</f>
        <v/>
      </c>
    </row>
    <row r="18" ht="14" customHeight="1"/>
    <row r="19" ht="22" customHeight="1">
      <c r="A19" s="117" t="inlineStr">
        <is>
          <t xml:space="preserve">  SUIVI TRÉSORERIE — REMBOURSEMENT DETTE ORNET</t>
        </is>
      </c>
    </row>
    <row r="20" ht="22" customHeight="1">
      <c r="A20" s="118" t="inlineStr">
        <is>
          <t>Mois</t>
        </is>
      </c>
      <c r="B20" s="118" t="inlineStr">
        <is>
          <t>CA NEXOR</t>
        </is>
      </c>
      <c r="C20" s="118" t="inlineStr">
        <is>
          <t>Sous-trait→ORNET</t>
        </is>
      </c>
      <c r="D20" s="118" t="inlineStr">
        <is>
          <t>Apurement URSSAF</t>
        </is>
      </c>
      <c r="E20" s="118" t="inlineStr">
        <is>
          <t>Apurement TVA</t>
        </is>
      </c>
      <c r="F20" s="118" t="inlineStr">
        <is>
          <t>Charges NEXOR</t>
        </is>
      </c>
      <c r="G20" s="118" t="inlineStr">
        <is>
          <t>Net disponible</t>
        </is>
      </c>
      <c r="H20" s="118" t="inlineStr">
        <is>
          <t>Dette restante</t>
        </is>
      </c>
      <c r="I20" s="118" t="inlineStr">
        <is>
          <t>Commentaire</t>
        </is>
      </c>
    </row>
    <row r="21" ht="22" customHeight="1">
      <c r="A21" s="125" t="inlineStr">
        <is>
          <t>Mai 26</t>
        </is>
      </c>
      <c r="B21" s="126" t="n"/>
      <c r="C21" s="126" t="n"/>
      <c r="D21" s="126" t="n"/>
      <c r="E21" s="126" t="n"/>
      <c r="F21" s="126" t="n"/>
      <c r="G21" s="126">
        <f>B21-C21-D21-E21-F21</f>
        <v/>
      </c>
      <c r="H21" s="127" t="n">
        <v>100000</v>
      </c>
      <c r="I21" s="119" t="n"/>
    </row>
    <row r="22" ht="22" customHeight="1">
      <c r="A22" s="128" t="inlineStr">
        <is>
          <t>Juin 26</t>
        </is>
      </c>
      <c r="B22" s="129" t="n"/>
      <c r="C22" s="129" t="n"/>
      <c r="D22" s="129" t="n"/>
      <c r="E22" s="129" t="n"/>
      <c r="F22" s="129" t="n"/>
      <c r="G22" s="129">
        <f>B22-C22-D22-E22-F22</f>
        <v/>
      </c>
      <c r="H22" s="130">
        <f>H21-D22-E22</f>
        <v/>
      </c>
      <c r="I22" s="121" t="n"/>
    </row>
    <row r="23" ht="22" customHeight="1">
      <c r="A23" s="125" t="inlineStr">
        <is>
          <t>Juil 26</t>
        </is>
      </c>
      <c r="B23" s="126" t="n"/>
      <c r="C23" s="126" t="n"/>
      <c r="D23" s="126" t="n"/>
      <c r="E23" s="126" t="n"/>
      <c r="F23" s="126" t="n"/>
      <c r="G23" s="126">
        <f>B23-C23-D23-E23-F23</f>
        <v/>
      </c>
      <c r="H23" s="127">
        <f>H22-D23-E23</f>
        <v/>
      </c>
      <c r="I23" s="119" t="n"/>
    </row>
    <row r="24" ht="22" customHeight="1">
      <c r="A24" s="128" t="inlineStr">
        <is>
          <t>Août 26</t>
        </is>
      </c>
      <c r="B24" s="129" t="n"/>
      <c r="C24" s="129" t="n"/>
      <c r="D24" s="129" t="n"/>
      <c r="E24" s="129" t="n"/>
      <c r="F24" s="129" t="n"/>
      <c r="G24" s="129">
        <f>B24-C24-D24-E24-F24</f>
        <v/>
      </c>
      <c r="H24" s="130">
        <f>H23-D24-E24</f>
        <v/>
      </c>
      <c r="I24" s="121" t="n"/>
    </row>
    <row r="25" ht="22" customHeight="1">
      <c r="A25" s="125" t="inlineStr">
        <is>
          <t>Sept 26</t>
        </is>
      </c>
      <c r="B25" s="126" t="n"/>
      <c r="C25" s="126" t="n"/>
      <c r="D25" s="126" t="n"/>
      <c r="E25" s="126" t="n"/>
      <c r="F25" s="126" t="n"/>
      <c r="G25" s="126">
        <f>B25-C25-D25-E25-F25</f>
        <v/>
      </c>
      <c r="H25" s="127">
        <f>H24-D25-E25</f>
        <v/>
      </c>
      <c r="I25" s="119" t="n"/>
    </row>
    <row r="26" ht="22" customHeight="1">
      <c r="A26" s="128" t="inlineStr">
        <is>
          <t>Oct 26</t>
        </is>
      </c>
      <c r="B26" s="129" t="n"/>
      <c r="C26" s="129" t="n"/>
      <c r="D26" s="129" t="n"/>
      <c r="E26" s="129" t="n"/>
      <c r="F26" s="129" t="n"/>
      <c r="G26" s="129">
        <f>B26-C26-D26-E26-F26</f>
        <v/>
      </c>
      <c r="H26" s="130">
        <f>H25-D26-E26</f>
        <v/>
      </c>
      <c r="I26" s="121" t="n"/>
    </row>
    <row r="27" ht="22" customHeight="1">
      <c r="A27" s="125" t="inlineStr">
        <is>
          <t>Nov 26</t>
        </is>
      </c>
      <c r="B27" s="126" t="n"/>
      <c r="C27" s="126" t="n"/>
      <c r="D27" s="126" t="n"/>
      <c r="E27" s="126" t="n"/>
      <c r="F27" s="126" t="n"/>
      <c r="G27" s="126">
        <f>B27-C27-D27-E27-F27</f>
        <v/>
      </c>
      <c r="H27" s="127">
        <f>H26-D27-E27</f>
        <v/>
      </c>
      <c r="I27" s="119" t="n"/>
    </row>
    <row r="28" ht="22" customHeight="1">
      <c r="A28" s="128" t="inlineStr">
        <is>
          <t>Déc 26</t>
        </is>
      </c>
      <c r="B28" s="129" t="n"/>
      <c r="C28" s="129" t="n"/>
      <c r="D28" s="129" t="n"/>
      <c r="E28" s="129" t="n"/>
      <c r="F28" s="129" t="n"/>
      <c r="G28" s="129">
        <f>B28-C28-D28-E28-F28</f>
        <v/>
      </c>
      <c r="H28" s="130">
        <f>H27-D28-E28</f>
        <v/>
      </c>
      <c r="I28" s="121" t="n"/>
    </row>
    <row r="29">
      <c r="A29" s="12" t="n"/>
      <c r="B29" s="12" t="n"/>
      <c r="C29" s="12" t="n"/>
      <c r="D29" s="12" t="n"/>
      <c r="E29" s="12" t="n"/>
      <c r="F29" s="12" t="n"/>
      <c r="G29" s="12" t="n"/>
      <c r="H29" s="12" t="n"/>
      <c r="I29" s="12" t="n"/>
    </row>
  </sheetData>
  <mergeCells count="4">
    <mergeCell ref="A16:E16"/>
    <mergeCell ref="A19:L19"/>
    <mergeCell ref="A2:L2"/>
    <mergeCell ref="A1:L1"/>
  </mergeCells>
  <dataValidations count="1">
    <dataValidation sqref="E4:E30" showDropDown="0" showInputMessage="0" showErrorMessage="0" allowBlank="1" type="list">
      <formula1>"Contact initial,Qualifié,Démo planifiée,Proposition envoyée,Négociation,Signé,Perdu,En attente"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
  <sheetViews>
    <sheetView showGridLines="0" workbookViewId="0">
      <selection activeCell="A1" sqref="A1"/>
    </sheetView>
  </sheetViews>
  <sheetFormatPr baseColWidth="8" defaultRowHeight="15"/>
  <cols>
    <col width="4" customWidth="1" min="1" max="1"/>
    <col width="28" customWidth="1" min="2" max="2"/>
    <col width="20" customWidth="1" min="3" max="3"/>
    <col width="45" customWidth="1" min="4" max="4"/>
    <col width="20" customWidth="1" min="5" max="5"/>
    <col width="10" customWidth="1" min="6" max="6"/>
    <col width="8" customWidth="1" min="7" max="7"/>
    <col width="8" customWidth="1" min="8" max="8"/>
    <col width="8" customWidth="1" min="9" max="9"/>
    <col width="18" customWidth="1" min="10" max="10"/>
  </cols>
  <sheetData>
    <row r="1" ht="32" customHeight="1">
      <c r="A1" s="131" t="inlineStr">
        <is>
          <t>🤖  AUTOMATIONS n8n — Plan d'implémentation &amp; Suivi</t>
        </is>
      </c>
    </row>
    <row r="2" ht="22" customHeight="1">
      <c r="A2" s="132" t="inlineStr">
        <is>
          <t>#</t>
        </is>
      </c>
      <c r="B2" s="132" t="inlineStr">
        <is>
          <t>Nom du workflow</t>
        </is>
      </c>
      <c r="C2" s="132" t="inlineStr">
        <is>
          <t>Trigger</t>
        </is>
      </c>
      <c r="D2" s="132" t="inlineStr">
        <is>
          <t>Description</t>
        </is>
      </c>
      <c r="E2" s="132" t="inlineStr">
        <is>
          <t>Outil(s)</t>
        </is>
      </c>
      <c r="F2" s="132" t="inlineStr">
        <is>
          <t>Priorité</t>
        </is>
      </c>
      <c r="G2" s="132" t="inlineStr">
        <is>
          <t>✅ Créé</t>
        </is>
      </c>
      <c r="H2" s="132" t="inlineStr">
        <is>
          <t>Testé</t>
        </is>
      </c>
      <c r="I2" s="132" t="inlineStr">
        <is>
          <t>En prod</t>
        </is>
      </c>
      <c r="J2" s="132" t="inlineStr">
        <is>
          <t>Valeur estimée €</t>
        </is>
      </c>
    </row>
    <row r="3" ht="36" customHeight="1">
      <c r="A3" s="133" t="n">
        <v>1</v>
      </c>
      <c r="B3" s="134" t="inlineStr">
        <is>
          <t>🌅 Morning Brief Alegria</t>
        </is>
      </c>
      <c r="C3" s="135" t="inlineStr">
        <is>
          <t>Planifié 5h50/sem</t>
        </is>
      </c>
      <c r="D3" s="136" t="inlineStr">
        <is>
          <t>Génère et envoie le brief de la session Alegria du jour (thème, étapes, objectif)</t>
        </is>
      </c>
      <c r="E3" s="137" t="inlineStr">
        <is>
          <t>n8n + Claude API</t>
        </is>
      </c>
      <c r="F3" s="135" t="inlineStr">
        <is>
          <t>🔴 URGENT</t>
        </is>
      </c>
      <c r="G3" s="138" t="inlineStr">
        <is>
          <t>✗</t>
        </is>
      </c>
      <c r="H3" s="138" t="inlineStr">
        <is>
          <t>✗</t>
        </is>
      </c>
      <c r="I3" s="138" t="inlineStr">
        <is>
          <t>✗</t>
        </is>
      </c>
      <c r="J3" s="139" t="inlineStr">
        <is>
          <t>─</t>
        </is>
      </c>
    </row>
    <row r="4" ht="36" customHeight="1">
      <c r="A4" s="133" t="n">
        <v>2</v>
      </c>
      <c r="B4" s="134" t="inlineStr">
        <is>
          <t>🌙 Evening Brief Théo</t>
        </is>
      </c>
      <c r="C4" s="135" t="inlineStr">
        <is>
          <t>Planifié 19h50/sem</t>
        </is>
      </c>
      <c r="D4" s="136" t="inlineStr">
        <is>
          <t>Génère et envoie le brief de la session Théo du soir (thème avancé, exercice, livrable)</t>
        </is>
      </c>
      <c r="E4" s="137" t="inlineStr">
        <is>
          <t>n8n + Claude API</t>
        </is>
      </c>
      <c r="F4" s="135" t="inlineStr">
        <is>
          <t>🔴 URGENT</t>
        </is>
      </c>
      <c r="G4" s="138" t="inlineStr">
        <is>
          <t>✗</t>
        </is>
      </c>
      <c r="H4" s="138" t="inlineStr">
        <is>
          <t>✗</t>
        </is>
      </c>
      <c r="I4" s="138" t="inlineStr">
        <is>
          <t>✗</t>
        </is>
      </c>
      <c r="J4" s="139" t="inlineStr">
        <is>
          <t>─</t>
        </is>
      </c>
    </row>
    <row r="5" ht="36" customHeight="1">
      <c r="A5" s="133" t="n">
        <v>3</v>
      </c>
      <c r="B5" s="134" t="inlineStr">
        <is>
          <t>📅 Weekend Brief Romaric</t>
        </is>
      </c>
      <c r="C5" s="135" t="inlineStr">
        <is>
          <t>Sam/Dim 7h50</t>
        </is>
      </c>
      <c r="D5" s="136" t="inlineStr">
        <is>
          <t>Brief weekend : objectifs NEXOR, prospects à contacter, workflows à construire</t>
        </is>
      </c>
      <c r="E5" s="137" t="inlineStr">
        <is>
          <t>n8n + Claude API</t>
        </is>
      </c>
      <c r="F5" s="135" t="inlineStr">
        <is>
          <t>🔴 URGENT</t>
        </is>
      </c>
      <c r="G5" s="138" t="inlineStr">
        <is>
          <t>✗</t>
        </is>
      </c>
      <c r="H5" s="138" t="inlineStr">
        <is>
          <t>✗</t>
        </is>
      </c>
      <c r="I5" s="138" t="inlineStr">
        <is>
          <t>✗</t>
        </is>
      </c>
      <c r="J5" s="139" t="inlineStr">
        <is>
          <t>─</t>
        </is>
      </c>
    </row>
    <row r="6" ht="36" customHeight="1">
      <c r="A6" s="140" t="n">
        <v>4</v>
      </c>
      <c r="B6" s="141" t="inlineStr">
        <is>
          <t>📊 Bilan hebdo auto</t>
        </is>
      </c>
      <c r="C6" s="142" t="inlineStr">
        <is>
          <t>Dim 21h</t>
        </is>
      </c>
      <c r="D6" s="143" t="inlineStr">
        <is>
          <t>Compile les sessions ✓ Alegria/Théo + CA NEXOR semaine + actions semaine suivante</t>
        </is>
      </c>
      <c r="E6" s="144" t="inlineStr">
        <is>
          <t>n8n + Notion + Claude</t>
        </is>
      </c>
      <c r="F6" s="142" t="inlineStr">
        <is>
          <t>🟠 Haute</t>
        </is>
      </c>
      <c r="G6" s="145" t="inlineStr">
        <is>
          <t>✗</t>
        </is>
      </c>
      <c r="H6" s="145" t="inlineStr">
        <is>
          <t>✗</t>
        </is>
      </c>
      <c r="I6" s="145" t="inlineStr">
        <is>
          <t>✗</t>
        </is>
      </c>
      <c r="J6" s="146" t="inlineStr">
        <is>
          <t>─</t>
        </is>
      </c>
    </row>
    <row r="7" ht="36" customHeight="1">
      <c r="A7" s="133" t="n">
        <v>5</v>
      </c>
      <c r="B7" s="134" t="inlineStr">
        <is>
          <t>🎯 Prospection LinkedIn</t>
        </is>
      </c>
      <c r="C7" s="135" t="inlineStr">
        <is>
          <t>Lun+Mer+Ven 9h</t>
        </is>
      </c>
      <c r="D7" s="136" t="inlineStr">
        <is>
          <t>Génère 10 messages LinkedIn personnalisés DSI/DG cibles + les programme via API</t>
        </is>
      </c>
      <c r="E7" s="137" t="inlineStr">
        <is>
          <t>n8n + Claude + LI</t>
        </is>
      </c>
      <c r="F7" s="135" t="inlineStr">
        <is>
          <t>🔴 URGENT</t>
        </is>
      </c>
      <c r="G7" s="138" t="inlineStr">
        <is>
          <t>✗</t>
        </is>
      </c>
      <c r="H7" s="138" t="inlineStr">
        <is>
          <t>✗</t>
        </is>
      </c>
      <c r="I7" s="138" t="inlineStr">
        <is>
          <t>✗</t>
        </is>
      </c>
      <c r="J7" s="139" t="inlineStr">
        <is>
          <t>500/sem</t>
        </is>
      </c>
    </row>
    <row r="8" ht="36" customHeight="1">
      <c r="A8" s="133" t="n">
        <v>6</v>
      </c>
      <c r="B8" s="134" t="inlineStr">
        <is>
          <t>📧 Suivi prospects auto</t>
        </is>
      </c>
      <c r="C8" s="135" t="inlineStr">
        <is>
          <t>Planifié J+3 J+7</t>
        </is>
      </c>
      <c r="D8" s="136" t="inlineStr">
        <is>
          <t>Relance automatique prospects sans réponse après 3 et 7 jours</t>
        </is>
      </c>
      <c r="E8" s="137" t="inlineStr">
        <is>
          <t>n8n + Gmail + Claude</t>
        </is>
      </c>
      <c r="F8" s="135" t="inlineStr">
        <is>
          <t>🔴 URGENT</t>
        </is>
      </c>
      <c r="G8" s="138" t="inlineStr">
        <is>
          <t>✗</t>
        </is>
      </c>
      <c r="H8" s="138" t="inlineStr">
        <is>
          <t>✗</t>
        </is>
      </c>
      <c r="I8" s="138" t="inlineStr">
        <is>
          <t>✗</t>
        </is>
      </c>
      <c r="J8" s="139" t="inlineStr">
        <is>
          <t>300/relance</t>
        </is>
      </c>
    </row>
    <row r="9" ht="36" customHeight="1">
      <c r="A9" s="140" t="n">
        <v>7</v>
      </c>
      <c r="B9" s="141" t="inlineStr">
        <is>
          <t>📝 Contenu LinkedIn auto</t>
        </is>
      </c>
      <c r="C9" s="142" t="inlineStr">
        <is>
          <t>Mer 8h</t>
        </is>
      </c>
      <c r="D9" s="143" t="inlineStr">
        <is>
          <t>Génère 2 posts LinkedIn semaine (IA+NoCode+réseau) avec image via Pillow</t>
        </is>
      </c>
      <c r="E9" s="144" t="inlineStr">
        <is>
          <t>n8n + Claude + Pillow</t>
        </is>
      </c>
      <c r="F9" s="142" t="inlineStr">
        <is>
          <t>🟠 Haute</t>
        </is>
      </c>
      <c r="G9" s="145" t="inlineStr">
        <is>
          <t>✗</t>
        </is>
      </c>
      <c r="H9" s="145" t="inlineStr">
        <is>
          <t>✗</t>
        </is>
      </c>
      <c r="I9" s="145" t="inlineStr">
        <is>
          <t>✗</t>
        </is>
      </c>
      <c r="J9" s="146" t="inlineStr">
        <is>
          <t>─</t>
        </is>
      </c>
    </row>
    <row r="10" ht="36" customHeight="1">
      <c r="A10" s="140" t="n">
        <v>8</v>
      </c>
      <c r="B10" s="141" t="inlineStr">
        <is>
          <t>🔔 Alerte ORNET tréso</t>
        </is>
      </c>
      <c r="C10" s="142" t="inlineStr">
        <is>
          <t>Quotidien 8h</t>
        </is>
      </c>
      <c r="D10" s="143" t="inlineStr">
        <is>
          <t>Vérifie le solde bancaire ORNET et alerte si &lt; seuil critique</t>
        </is>
      </c>
      <c r="E10" s="144" t="inlineStr">
        <is>
          <t>n8n + API Banque</t>
        </is>
      </c>
      <c r="F10" s="142" t="inlineStr">
        <is>
          <t>🟠 Haute</t>
        </is>
      </c>
      <c r="G10" s="145" t="inlineStr">
        <is>
          <t>✗</t>
        </is>
      </c>
      <c r="H10" s="145" t="inlineStr">
        <is>
          <t>✗</t>
        </is>
      </c>
      <c r="I10" s="145" t="inlineStr">
        <is>
          <t>✗</t>
        </is>
      </c>
      <c r="J10" s="146" t="inlineStr">
        <is>
          <t>─</t>
        </is>
      </c>
    </row>
    <row r="11" ht="36" customHeight="1">
      <c r="A11" s="147" t="n">
        <v>9</v>
      </c>
      <c r="B11" s="148" t="inlineStr">
        <is>
          <t>📋 Rapport WifiAudit auto</t>
        </is>
      </c>
      <c r="C11" s="149" t="inlineStr">
        <is>
          <t>Webhook upload</t>
        </is>
      </c>
      <c r="D11" s="150" t="inlineStr">
        <is>
          <t>Reçoit un export CatC/WLC → analyse → génère rapport PDF → envoie client</t>
        </is>
      </c>
      <c r="E11" s="151" t="inlineStr">
        <is>
          <t>n8n + Python + Claude</t>
        </is>
      </c>
      <c r="F11" s="149" t="inlineStr">
        <is>
          <t>🟡 Moyenne</t>
        </is>
      </c>
      <c r="G11" s="152" t="inlineStr">
        <is>
          <t>✗</t>
        </is>
      </c>
      <c r="H11" s="152" t="inlineStr">
        <is>
          <t>✗</t>
        </is>
      </c>
      <c r="I11" s="152" t="inlineStr">
        <is>
          <t>✗</t>
        </is>
      </c>
      <c r="J11" s="153" t="inlineStr">
        <is>
          <t>299-599€/rapport</t>
        </is>
      </c>
    </row>
    <row r="12" ht="36" customHeight="1">
      <c r="A12" s="147" t="n">
        <v>10</v>
      </c>
      <c r="B12" s="148" t="inlineStr">
        <is>
          <t>🤖 Agent qualif leads</t>
        </is>
      </c>
      <c r="C12" s="149" t="inlineStr">
        <is>
          <t>Email entrant</t>
        </is>
      </c>
      <c r="D12" s="150" t="inlineStr">
        <is>
          <t>Qualifie automatiquement les leads entrants : score + fiche Notion + réponse auto</t>
        </is>
      </c>
      <c r="E12" s="151" t="inlineStr">
        <is>
          <t>n8n + Claude + Notion</t>
        </is>
      </c>
      <c r="F12" s="149" t="inlineStr">
        <is>
          <t>🟡 Moyenne</t>
        </is>
      </c>
      <c r="G12" s="152" t="inlineStr">
        <is>
          <t>✗</t>
        </is>
      </c>
      <c r="H12" s="152" t="inlineStr">
        <is>
          <t>✗</t>
        </is>
      </c>
      <c r="I12" s="152" t="inlineStr">
        <is>
          <t>✗</t>
        </is>
      </c>
      <c r="J12" s="153" t="inlineStr">
        <is>
          <t>valeur pipeline</t>
        </is>
      </c>
    </row>
    <row r="13" ht="36" customHeight="1">
      <c r="A13" s="147" t="n">
        <v>11</v>
      </c>
      <c r="B13" s="148" t="inlineStr">
        <is>
          <t>🔄 Onboarding client NEXOR</t>
        </is>
      </c>
      <c r="C13" s="149" t="inlineStr">
        <is>
          <t>Paiement Stripe</t>
        </is>
      </c>
      <c r="D13" s="150" t="inlineStr">
        <is>
          <t>Nouveau client → email bienvenue + accès + fiche Notion + rappel J+3</t>
        </is>
      </c>
      <c r="E13" s="151" t="inlineStr">
        <is>
          <t>n8n + Stripe + Notion</t>
        </is>
      </c>
      <c r="F13" s="149" t="inlineStr">
        <is>
          <t>🟡 Moyenne</t>
        </is>
      </c>
      <c r="G13" s="152" t="inlineStr">
        <is>
          <t>✗</t>
        </is>
      </c>
      <c r="H13" s="152" t="inlineStr">
        <is>
          <t>✗</t>
        </is>
      </c>
      <c r="I13" s="152" t="inlineStr">
        <is>
          <t>✗</t>
        </is>
      </c>
      <c r="J13" s="153" t="inlineStr">
        <is>
          <t>─</t>
        </is>
      </c>
    </row>
    <row r="14" ht="36" customHeight="1">
      <c r="A14" s="86" t="n">
        <v>12</v>
      </c>
      <c r="B14" s="88" t="inlineStr">
        <is>
          <t>📈 KPI dashboard update</t>
        </is>
      </c>
      <c r="C14" s="87" t="inlineStr">
        <is>
          <t>Quotidien 23h</t>
        </is>
      </c>
      <c r="D14" s="89" t="inlineStr">
        <is>
          <t>Met à jour les KPIs Notion (CA, clients, sessions) depuis les sources de données</t>
        </is>
      </c>
      <c r="E14" s="154" t="inlineStr">
        <is>
          <t>n8n + Notion</t>
        </is>
      </c>
      <c r="F14" s="87" t="inlineStr">
        <is>
          <t>🟢 Basse</t>
        </is>
      </c>
      <c r="G14" s="92" t="inlineStr">
        <is>
          <t>✗</t>
        </is>
      </c>
      <c r="H14" s="92" t="inlineStr">
        <is>
          <t>✗</t>
        </is>
      </c>
      <c r="I14" s="92" t="inlineStr">
        <is>
          <t>✗</t>
        </is>
      </c>
      <c r="J14" s="155" t="inlineStr">
        <is>
          <t>─</t>
        </is>
      </c>
    </row>
  </sheetData>
  <mergeCells count="1">
    <mergeCell ref="A1:L1"/>
  </mergeCells>
  <conditionalFormatting sqref="A3:J14">
    <cfRule type="expression" priority="1" dxfId="0">
      <formula>$I3="✓"</formula>
    </cfRule>
  </conditionalFormatting>
  <dataValidations count="1">
    <dataValidation sqref="G3:I50"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2026-05-13T06:43:11Z</dcterms:created>
  <dcterms:modified xmlns:dcterms="http://purl.org/dc/terms/" xmlns:xsi="http://www.w3.org/2001/XMLSchema-instance" xsi:type="dcterms:W3CDTF">2026-05-13T06:43:11Z</dcterms:modified>
</cp:coreProperties>
</file>