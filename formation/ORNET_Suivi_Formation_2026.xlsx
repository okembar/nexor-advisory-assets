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Plan Tâches" sheetId="2" state="visible" r:id="rId2"/>
    <sheet xmlns:r="http://schemas.openxmlformats.org/officeDocument/2006/relationships" name="📊 Semaines" sheetId="3" state="visible" r:id="rId3"/>
    <sheet xmlns:r="http://schemas.openxmlformats.org/officeDocument/2006/relationships" name="📈 KPIs Business" sheetId="4" state="visible" r:id="rId4"/>
    <sheet xmlns:r="http://schemas.openxmlformats.org/officeDocument/2006/relationships" name="🏃 Sport &amp; Habitu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9"/>
    </font>
    <font>
      <name val="Arial"/>
      <b val="1"/>
      <color rgb="00FFFFFF"/>
      <sz val="20"/>
    </font>
    <font>
      <name val="Arial"/>
      <b val="1"/>
      <color rgb="00CCCCCC"/>
      <sz val="8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color rgb="00000000"/>
      <sz val="11"/>
    </font>
    <font>
      <name val="Arial"/>
      <color rgb="000070C0"/>
      <sz val="9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444444"/>
      <sz val="9"/>
    </font>
    <font>
      <name val="Arial"/>
      <b val="1"/>
      <color rgb="000070C0"/>
      <sz val="9"/>
    </font>
    <font>
      <name val="Arial"/>
      <color rgb="00000000"/>
      <sz val="12"/>
    </font>
    <font>
      <name val="Arial"/>
      <b val="1"/>
      <sz val="9"/>
    </font>
    <font>
      <name val="Arial"/>
      <sz val="11"/>
    </font>
  </fonts>
  <fills count="2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D9E75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534AB7"/>
      </patternFill>
    </fill>
    <fill>
      <patternFill patternType="solid">
        <fgColor rgb="00EF9F27"/>
      </patternFill>
    </fill>
    <fill>
      <patternFill patternType="solid">
        <fgColor rgb="002C3E50"/>
      </patternFill>
    </fill>
    <fill>
      <patternFill patternType="solid">
        <fgColor rgb="003D5A8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85A30"/>
      </patternFill>
    </fill>
    <fill>
      <patternFill patternType="solid">
        <fgColor rgb="007D2D2D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FFE0DC"/>
      </patternFill>
    </fill>
    <fill>
      <patternFill patternType="solid">
        <fgColor rgb="00FFF3DC"/>
      </patternFill>
    </fill>
    <fill>
      <patternFill patternType="solid">
        <fgColor rgb="00FFF0D8"/>
      </patternFill>
    </fill>
    <fill>
      <patternFill patternType="solid">
        <fgColor rgb="00DCE8FF"/>
      </patternFill>
    </fill>
    <fill>
      <patternFill patternType="solid">
        <fgColor rgb="00F0DCFF"/>
      </patternFill>
    </fill>
    <fill>
      <patternFill patternType="solid">
        <fgColor rgb="00FFE8F0"/>
      </patternFill>
    </fill>
    <fill>
      <patternFill patternType="solid">
        <fgColor rgb="00DDEEFF"/>
      </patternFill>
    </fill>
    <fill>
      <patternFill patternType="solid">
        <fgColor rgb="00DDFFF0"/>
      </patternFill>
    </fill>
    <fill>
      <patternFill patternType="solid">
        <fgColor rgb="00EAF4FF"/>
      </patternFill>
    </fill>
    <fill>
      <patternFill patternType="solid">
        <fgColor rgb="00F8F9FA"/>
      </patternFill>
    </fill>
    <fill>
      <patternFill patternType="solid">
        <fgColor rgb="00E8F4FD"/>
      </patternFill>
    </fill>
    <fill>
      <patternFill patternType="solid">
        <fgColor rgb="00F0FF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  <xf numFmtId="0" fontId="3" fillId="5" borderId="0" applyAlignment="1" pivotButton="0" quotePrefix="0" xfId="0">
      <alignment horizontal="center" vertical="bottom"/>
    </xf>
    <xf numFmtId="0" fontId="3" fillId="6" borderId="0" applyAlignment="1" pivotButton="0" quotePrefix="0" xfId="0">
      <alignment horizontal="center" vertical="bottom"/>
    </xf>
    <xf numFmtId="0" fontId="3" fillId="7" borderId="0" applyAlignment="1" pivotButton="0" quotePrefix="0" xfId="0">
      <alignment horizontal="center" vertical="bottom"/>
    </xf>
    <xf numFmtId="0" fontId="5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11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8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8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8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8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8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8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8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8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left" vertical="center" wrapText="1"/>
    </xf>
    <xf numFmtId="0" fontId="12" fillId="22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8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left" vertical="center"/>
    </xf>
    <xf numFmtId="0" fontId="8" fillId="23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7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left" vertical="center" wrapText="1"/>
    </xf>
    <xf numFmtId="0" fontId="14" fillId="24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3" fillId="9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/>
    </xf>
    <xf numFmtId="0" fontId="11" fillId="25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17" fillId="2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18" fillId="27" borderId="1" applyAlignment="1" pivotButton="0" quotePrefix="0" xfId="0">
      <alignment horizontal="center" vertical="center"/>
    </xf>
    <xf numFmtId="0" fontId="0" fillId="2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5F5E3"/>
          <bgColor rgb="00D5F5E3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8" customWidth="1" min="4" max="4"/>
    <col width="12" customWidth="1" min="5" max="5"/>
    <col width="18" customWidth="1" min="6" max="6"/>
    <col width="10" customWidth="1" min="7" max="7"/>
    <col width="18" customWidth="1" min="8" max="8"/>
    <col width="14" customWidth="1" min="9" max="9"/>
    <col width="18" customWidth="1" min="10" max="10"/>
  </cols>
  <sheetData>
    <row r="1" ht="50" customHeight="1">
      <c r="B1" s="1" t="inlineStr">
        <is>
          <t>📋  ORNET HomeLab — Tableau de Bord Formation 2026</t>
        </is>
      </c>
    </row>
    <row r="2" ht="18" customHeight="1">
      <c r="B2" s="2" t="inlineStr">
        <is>
          <t>Démarrage : 12 mai 2026  ·  Sans ISE  ·  Sans WiFi 7/8  ·  Mise à jour automatique via formules</t>
        </is>
      </c>
    </row>
    <row r="3" ht="24" customHeight="1">
      <c r="B3" s="3" t="inlineStr">
        <is>
          <t>Tâches Complétées</t>
        </is>
      </c>
      <c r="E3" s="4" t="inlineStr">
        <is>
          <t>Tâches Totales</t>
        </is>
      </c>
      <c r="H3" s="5" t="inlineStr">
        <is>
          <t>Progression %</t>
        </is>
      </c>
      <c r="K3" s="6" t="inlineStr">
        <is>
          <t>Score Moyen /10</t>
        </is>
      </c>
      <c r="M3" s="7" t="inlineStr">
        <is>
          <t>Semaine En cours</t>
        </is>
      </c>
    </row>
    <row r="4" ht="24" customHeight="1">
      <c r="B4" s="8">
        <f>COUNTIF('📅 Plan Tâches'!H:H,"✓")</f>
        <v/>
      </c>
      <c r="E4" s="9">
        <f>COUNTA('📅 Plan Tâches'!F2:F500)-1</f>
        <v/>
      </c>
      <c r="H4" s="10">
        <f>IFERROR(ROUND(COUNTIF('📅 Plan Tâches'!H:H,"✓")/MAX(COUNTA('📅 Plan Tâches'!F2:F500)-1,1)*100,0)&amp;"%","0%")</f>
        <v/>
      </c>
      <c r="K4" s="11">
        <f>IFERROR(ROUND(AVERAGE('📊 Semaines'!E2:E50),1),"─")</f>
        <v/>
      </c>
      <c r="M4" s="12">
        <f>IFERROR(VLOOKUP(TODAY(),'📊 Semaines'!B2:B50,1,1),"─")</f>
        <v/>
      </c>
    </row>
    <row r="5" ht="24" customHeight="1"/>
    <row r="6" ht="24" customHeight="1"/>
    <row r="7" ht="16" customHeight="1"/>
    <row r="8" ht="28" customHeight="1">
      <c r="B8" s="13" t="inlineStr">
        <is>
          <t>📅  SUIVI SEMAINES — PROGRESSION</t>
        </is>
      </c>
    </row>
    <row r="9">
      <c r="B9" s="14" t="inlineStr">
        <is>
          <t>Semaine</t>
        </is>
      </c>
      <c r="C9" s="14" t="inlineStr">
        <is>
          <t>Dates</t>
        </is>
      </c>
      <c r="D9" s="14" t="inlineStr">
        <is>
          <t>Objectif</t>
        </is>
      </c>
      <c r="E9" s="14" t="inlineStr">
        <is>
          <t>T. Réalisées</t>
        </is>
      </c>
      <c r="F9" s="14" t="inlineStr">
        <is>
          <t>T. Totales</t>
        </is>
      </c>
      <c r="G9" s="14" t="inlineStr">
        <is>
          <t>% Taux</t>
        </is>
      </c>
      <c r="H9" s="14" t="inlineStr">
        <is>
          <t>Score /10</t>
        </is>
      </c>
      <c r="I9" s="14" t="inlineStr">
        <is>
          <t>Statut</t>
        </is>
      </c>
      <c r="J9" s="14" t="inlineStr">
        <is>
          <t>✅</t>
        </is>
      </c>
    </row>
    <row r="10" ht="22" customHeight="1">
      <c r="B10" s="15" t="inlineStr">
        <is>
          <t>S1 — 12-18 mai</t>
        </is>
      </c>
      <c r="C10" s="16" t="inlineStr">
        <is>
          <t>12-18 mai</t>
        </is>
      </c>
      <c r="D10" s="17" t="inlineStr">
        <is>
          <t>Setup HomeLab · Python · Morning Agent</t>
        </is>
      </c>
      <c r="E10" s="18" t="n">
        <v>0</v>
      </c>
      <c r="F10" s="18" t="n">
        <v>21</v>
      </c>
      <c r="G10" s="19">
        <f>IFERROR(ROUND(E10/F10*100,0)&amp;"%","─")</f>
        <v/>
      </c>
      <c r="H10" s="19" t="inlineStr"/>
      <c r="I10" s="18" t="inlineStr">
        <is>
          <t>🔴 À faire</t>
        </is>
      </c>
      <c r="J10" s="20" t="inlineStr">
        <is>
          <t>☐</t>
        </is>
      </c>
    </row>
    <row r="11" ht="22" customHeight="1">
      <c r="B11" s="15" t="inlineStr">
        <is>
          <t>S2 — 19-25 mai</t>
        </is>
      </c>
      <c r="C11" s="16" t="inlineStr">
        <is>
          <t>19-25 mai</t>
        </is>
      </c>
      <c r="D11" s="17" t="inlineStr">
        <is>
          <t>NumPy/Pandas · SSH · CatC API · LI post #1</t>
        </is>
      </c>
      <c r="E11" s="18" t="n">
        <v>0</v>
      </c>
      <c r="F11" s="18" t="n">
        <v>21</v>
      </c>
      <c r="G11" s="19">
        <f>IFERROR(ROUND(E11/F11*100,0)&amp;"%","─")</f>
        <v/>
      </c>
      <c r="H11" s="19" t="inlineStr"/>
      <c r="I11" s="18" t="inlineStr">
        <is>
          <t>🔴 À faire</t>
        </is>
      </c>
      <c r="J11" s="20" t="inlineStr">
        <is>
          <t>☐</t>
        </is>
      </c>
    </row>
    <row r="12" ht="22" customHeight="1">
      <c r="B12" s="15" t="inlineStr">
        <is>
          <t>S3 — 26 mai-1 juin</t>
        </is>
      </c>
      <c r="C12" s="16" t="inlineStr">
        <is>
          <t>26 mai-1 juin</t>
        </is>
      </c>
      <c r="D12" s="17" t="inlineStr">
        <is>
          <t>LangChain · Docker · Endpoint /analyze</t>
        </is>
      </c>
      <c r="E12" s="18" t="n">
        <v>0</v>
      </c>
      <c r="F12" s="18" t="n">
        <v>21</v>
      </c>
      <c r="G12" s="19">
        <f>IFERROR(ROUND(E12/F12*100,0)&amp;"%","─")</f>
        <v/>
      </c>
      <c r="H12" s="19" t="inlineStr"/>
      <c r="I12" s="18" t="inlineStr">
        <is>
          <t>🔴 À faire</t>
        </is>
      </c>
      <c r="J12" s="20" t="inlineStr">
        <is>
          <t>☐</t>
        </is>
      </c>
    </row>
    <row r="13" ht="22" customHeight="1">
      <c r="B13" s="15" t="inlineStr">
        <is>
          <t>S4 — 2-8 juin</t>
        </is>
      </c>
      <c r="C13" s="16" t="inlineStr">
        <is>
          <t>2-8 juin</t>
        </is>
      </c>
      <c r="D13" s="17" t="inlineStr">
        <is>
          <t>scikit-learn · nginx · Bubble.io</t>
        </is>
      </c>
      <c r="E13" s="18" t="n">
        <v>0</v>
      </c>
      <c r="F13" s="18" t="n">
        <v>21</v>
      </c>
      <c r="G13" s="19">
        <f>IFERROR(ROUND(E13/F13*100,0)&amp;"%","─")</f>
        <v/>
      </c>
      <c r="H13" s="19" t="inlineStr"/>
      <c r="I13" s="18" t="inlineStr">
        <is>
          <t>🔴 À faire</t>
        </is>
      </c>
      <c r="J13" s="20" t="inlineStr">
        <is>
          <t>☐</t>
        </is>
      </c>
    </row>
    <row r="14" ht="22" customHeight="1">
      <c r="B14" s="15" t="inlineStr">
        <is>
          <t>S5 — 9-15 juin</t>
        </is>
      </c>
      <c r="C14" s="16" t="inlineStr">
        <is>
          <t>9-15 juin</t>
        </is>
      </c>
      <c r="D14" s="17" t="inlineStr">
        <is>
          <t>RAG · Docker prod · 5 beta · 1er client 🎯</t>
        </is>
      </c>
      <c r="E14" s="18" t="n">
        <v>0</v>
      </c>
      <c r="F14" s="18" t="n">
        <v>21</v>
      </c>
      <c r="G14" s="19">
        <f>IFERROR(ROUND(E14/F14*100,0)&amp;"%","─")</f>
        <v/>
      </c>
      <c r="H14" s="19" t="inlineStr"/>
      <c r="I14" s="18" t="inlineStr">
        <is>
          <t>🔴 À faire</t>
        </is>
      </c>
      <c r="J14" s="20" t="inlineStr">
        <is>
          <t>☐</t>
        </is>
      </c>
    </row>
    <row r="15" ht="22" customHeight="1">
      <c r="B15" s="15" t="inlineStr">
        <is>
          <t>S6 — 16-22 juin</t>
        </is>
      </c>
      <c r="C15" s="16" t="inlineStr">
        <is>
          <t>16-22 juin</t>
        </is>
      </c>
      <c r="D15" s="17" t="inlineStr">
        <is>
          <t>Ansible · 3 clients · API partenaires</t>
        </is>
      </c>
      <c r="E15" s="18" t="n">
        <v>0</v>
      </c>
      <c r="F15" s="18" t="n">
        <v>21</v>
      </c>
      <c r="G15" s="19">
        <f>IFERROR(ROUND(E15/F15*100,0)&amp;"%","─")</f>
        <v/>
      </c>
      <c r="H15" s="19" t="inlineStr"/>
      <c r="I15" s="18" t="inlineStr">
        <is>
          <t>🔴 À faire</t>
        </is>
      </c>
      <c r="J15" s="20" t="inlineStr">
        <is>
          <t>☐</t>
        </is>
      </c>
    </row>
    <row r="16" ht="22" customHeight="1">
      <c r="B16" s="15" t="inlineStr">
        <is>
          <t>Juillet</t>
        </is>
      </c>
      <c r="C16" s="16" t="inlineStr">
        <is>
          <t>23 juin-20 juil</t>
        </is>
      </c>
      <c r="D16" s="17" t="inlineStr">
        <is>
          <t>Agents IA · 8 clients · Web beta</t>
        </is>
      </c>
      <c r="E16" s="18" t="n">
        <v>0</v>
      </c>
      <c r="F16" s="18" t="n">
        <v>40</v>
      </c>
      <c r="G16" s="19">
        <f>IFERROR(ROUND(E16/F16*100,0)&amp;"%","─")</f>
        <v/>
      </c>
      <c r="H16" s="19" t="inlineStr"/>
      <c r="I16" s="18" t="inlineStr">
        <is>
          <t>🔴 À faire</t>
        </is>
      </c>
      <c r="J16" s="20" t="inlineStr">
        <is>
          <t>☐</t>
        </is>
      </c>
    </row>
    <row r="17" ht="22" customHeight="1">
      <c r="B17" s="15" t="inlineStr">
        <is>
          <t>Août</t>
        </is>
      </c>
      <c r="C17" s="16" t="inlineStr">
        <is>
          <t>21 juil-23 août</t>
        </is>
      </c>
      <c r="D17" s="17" t="inlineStr">
        <is>
          <t>LLM RF · 10 clients · Vacances</t>
        </is>
      </c>
      <c r="E17" s="18" t="n">
        <v>0</v>
      </c>
      <c r="F17" s="18" t="n">
        <v>30</v>
      </c>
      <c r="G17" s="19">
        <f>IFERROR(ROUND(E17/F17*100,0)&amp;"%","─")</f>
        <v/>
      </c>
      <c r="H17" s="19" t="inlineStr"/>
      <c r="I17" s="18" t="inlineStr">
        <is>
          <t>🔴 À faire</t>
        </is>
      </c>
      <c r="J17" s="20" t="inlineStr">
        <is>
          <t>☐</t>
        </is>
      </c>
    </row>
    <row r="18" ht="22" customHeight="1">
      <c r="B18" s="15" t="inlineStr">
        <is>
          <t>Septembre</t>
        </is>
      </c>
      <c r="C18" s="16" t="inlineStr">
        <is>
          <t>25 août-27 sept</t>
        </is>
      </c>
      <c r="D18" s="17" t="inlineStr">
        <is>
          <t>MLOps · 12 clients · Bilan Q3</t>
        </is>
      </c>
      <c r="E18" s="18" t="n">
        <v>0</v>
      </c>
      <c r="F18" s="18" t="n">
        <v>30</v>
      </c>
      <c r="G18" s="19">
        <f>IFERROR(ROUND(E18/F18*100,0)&amp;"%","─")</f>
        <v/>
      </c>
      <c r="H18" s="19" t="inlineStr"/>
      <c r="I18" s="18" t="inlineStr">
        <is>
          <t>🔴 À faire</t>
        </is>
      </c>
      <c r="J18" s="20" t="inlineStr">
        <is>
          <t>☐</t>
        </is>
      </c>
    </row>
    <row r="19" ht="22" customHeight="1">
      <c r="B19" s="15" t="inlineStr">
        <is>
          <t>Octobre</t>
        </is>
      </c>
      <c r="C19" s="16" t="inlineStr">
        <is>
          <t>28 sept-25 oct</t>
        </is>
      </c>
      <c r="D19" s="17" t="inlineStr">
        <is>
          <t>WifiAudit v2 · 13 clients</t>
        </is>
      </c>
      <c r="E19" s="18" t="n">
        <v>0</v>
      </c>
      <c r="F19" s="18" t="n">
        <v>28</v>
      </c>
      <c r="G19" s="19">
        <f>IFERROR(ROUND(E19/F19*100,0)&amp;"%","─")</f>
        <v/>
      </c>
      <c r="H19" s="19" t="inlineStr"/>
      <c r="I19" s="18" t="inlineStr">
        <is>
          <t>🔴 À faire</t>
        </is>
      </c>
      <c r="J19" s="20" t="inlineStr">
        <is>
          <t>☐</t>
        </is>
      </c>
    </row>
    <row r="20" ht="22" customHeight="1">
      <c r="B20" s="15" t="inlineStr">
        <is>
          <t>Novembre</t>
        </is>
      </c>
      <c r="C20" s="16" t="inlineStr">
        <is>
          <t>26 oct-22 nov</t>
        </is>
      </c>
      <c r="D20" s="17" t="inlineStr">
        <is>
          <t>15 clients 🎯 · Plan 2027 · Webinar</t>
        </is>
      </c>
      <c r="E20" s="18" t="n">
        <v>0</v>
      </c>
      <c r="F20" s="18" t="n">
        <v>28</v>
      </c>
      <c r="G20" s="19">
        <f>IFERROR(ROUND(E20/F20*100,0)&amp;"%","─")</f>
        <v/>
      </c>
      <c r="H20" s="19" t="inlineStr"/>
      <c r="I20" s="18" t="inlineStr">
        <is>
          <t>🔴 À faire</t>
        </is>
      </c>
      <c r="J20" s="20" t="inlineStr">
        <is>
          <t>☐</t>
        </is>
      </c>
    </row>
    <row r="21" ht="22" customHeight="1">
      <c r="B21" s="15" t="inlineStr">
        <is>
          <t>Décembre</t>
        </is>
      </c>
      <c r="C21" s="16" t="inlineStr">
        <is>
          <t>23 nov-31 déc</t>
        </is>
      </c>
      <c r="D21" s="17" t="inlineStr">
        <is>
          <t>Bilan annuel · Repos ⛄</t>
        </is>
      </c>
      <c r="E21" s="18" t="n">
        <v>0</v>
      </c>
      <c r="F21" s="18" t="n">
        <v>20</v>
      </c>
      <c r="G21" s="19">
        <f>IFERROR(ROUND(E21/F21*100,0)&amp;"%","─")</f>
        <v/>
      </c>
      <c r="H21" s="19" t="inlineStr"/>
      <c r="I21" s="18" t="inlineStr">
        <is>
          <t>🔴 À faire</t>
        </is>
      </c>
      <c r="J21" s="20" t="inlineStr">
        <is>
          <t>☐</t>
        </is>
      </c>
    </row>
    <row r="23" ht="14" customHeight="1"/>
    <row r="24" ht="28" customHeight="1">
      <c r="B24" s="21" t="inlineStr">
        <is>
          <t>🚀  KPIs BUSINESS — WIFIAUDIT AI</t>
        </is>
      </c>
    </row>
    <row r="25">
      <c r="B25" s="22" t="inlineStr">
        <is>
          <t>Indicateur</t>
        </is>
      </c>
      <c r="C25" s="23" t="n"/>
      <c r="D25" s="22" t="inlineStr">
        <is>
          <t>Objectif</t>
        </is>
      </c>
      <c r="E25" s="23" t="n"/>
      <c r="F25" s="22" t="inlineStr">
        <is>
          <t>Réalisé</t>
        </is>
      </c>
      <c r="G25" s="23" t="n"/>
      <c r="H25" s="22" t="inlineStr">
        <is>
          <t>Écart</t>
        </is>
      </c>
      <c r="I25" s="23" t="n"/>
      <c r="J25" s="22" t="inlineStr">
        <is>
          <t>Statut</t>
        </is>
      </c>
      <c r="K25" s="23" t="n"/>
    </row>
    <row r="26" ht="20" customHeight="1">
      <c r="B26" s="15" t="inlineStr">
        <is>
          <t>Clients WifiAudit payants</t>
        </is>
      </c>
      <c r="C26" s="23" t="n"/>
      <c r="D26" s="18" t="inlineStr">
        <is>
          <t>15</t>
        </is>
      </c>
      <c r="E26" s="23" t="n"/>
      <c r="F26" s="24" t="inlineStr">
        <is>
          <t>0</t>
        </is>
      </c>
      <c r="G26" s="23" t="n"/>
      <c r="H26" s="19">
        <f>F26-D26</f>
        <v/>
      </c>
      <c r="I26" s="23" t="n"/>
      <c r="J26" s="20" t="inlineStr">
        <is>
          <t>🔴</t>
        </is>
      </c>
      <c r="K26" s="23" t="n"/>
    </row>
    <row r="27" ht="20" customHeight="1">
      <c r="B27" s="15" t="inlineStr">
        <is>
          <t>Waitlist signups</t>
        </is>
      </c>
      <c r="C27" s="23" t="n"/>
      <c r="D27" s="18" t="inlineStr">
        <is>
          <t>20</t>
        </is>
      </c>
      <c r="E27" s="23" t="n"/>
      <c r="F27" s="24" t="inlineStr">
        <is>
          <t>0</t>
        </is>
      </c>
      <c r="G27" s="23" t="n"/>
      <c r="H27" s="19">
        <f>F27-D27</f>
        <v/>
      </c>
      <c r="I27" s="23" t="n"/>
      <c r="J27" s="20" t="inlineStr">
        <is>
          <t>🔴</t>
        </is>
      </c>
      <c r="K27" s="23" t="n"/>
    </row>
    <row r="28" ht="20" customHeight="1">
      <c r="B28" s="15" t="inlineStr">
        <is>
          <t>Posts LinkedIn / mois</t>
        </is>
      </c>
      <c r="C28" s="23" t="n"/>
      <c r="D28" s="18" t="inlineStr">
        <is>
          <t>8</t>
        </is>
      </c>
      <c r="E28" s="23" t="n"/>
      <c r="F28" s="24" t="inlineStr">
        <is>
          <t>0</t>
        </is>
      </c>
      <c r="G28" s="23" t="n"/>
      <c r="H28" s="19">
        <f>F28-D28</f>
        <v/>
      </c>
      <c r="I28" s="23" t="n"/>
      <c r="J28" s="20" t="inlineStr">
        <is>
          <t>🔴</t>
        </is>
      </c>
      <c r="K28" s="23" t="n"/>
    </row>
    <row r="29" ht="20" customHeight="1">
      <c r="B29" s="15" t="inlineStr">
        <is>
          <t>Jours sport / mois</t>
        </is>
      </c>
      <c r="C29" s="23" t="n"/>
      <c r="D29" s="18" t="inlineStr">
        <is>
          <t>25</t>
        </is>
      </c>
      <c r="E29" s="23" t="n"/>
      <c r="F29" s="24" t="inlineStr">
        <is>
          <t>0</t>
        </is>
      </c>
      <c r="G29" s="23" t="n"/>
      <c r="H29" s="19">
        <f>F29-D29</f>
        <v/>
      </c>
      <c r="I29" s="23" t="n"/>
      <c r="J29" s="20" t="inlineStr">
        <is>
          <t>🔴</t>
        </is>
      </c>
      <c r="K29" s="23" t="n"/>
    </row>
    <row r="30" ht="20" customHeight="1">
      <c r="B30" s="15" t="inlineStr">
        <is>
          <t>Articles or-net.com publiés</t>
        </is>
      </c>
      <c r="C30" s="23" t="n"/>
      <c r="D30" s="18" t="inlineStr">
        <is>
          <t>2/mois</t>
        </is>
      </c>
      <c r="E30" s="23" t="n"/>
      <c r="F30" s="24" t="inlineStr">
        <is>
          <t>0</t>
        </is>
      </c>
      <c r="G30" s="23" t="n"/>
      <c r="H30" s="19" t="inlineStr">
        <is>
          <t>─</t>
        </is>
      </c>
      <c r="I30" s="23" t="n"/>
      <c r="J30" s="20" t="inlineStr">
        <is>
          <t>🔴</t>
        </is>
      </c>
      <c r="K30" s="23" t="n"/>
    </row>
    <row r="31" ht="20" customHeight="1">
      <c r="B31" s="15" t="inlineStr">
        <is>
          <t>Score semaine moyen</t>
        </is>
      </c>
      <c r="C31" s="23" t="n"/>
      <c r="D31" s="18" t="inlineStr">
        <is>
          <t>&gt; 7</t>
        </is>
      </c>
      <c r="E31" s="23" t="n"/>
      <c r="F31" s="24" t="inlineStr">
        <is>
          <t>0</t>
        </is>
      </c>
      <c r="G31" s="23" t="n"/>
      <c r="H31" s="19" t="inlineStr">
        <is>
          <t>─</t>
        </is>
      </c>
      <c r="I31" s="23" t="n"/>
      <c r="J31" s="20" t="inlineStr">
        <is>
          <t>🔴</t>
        </is>
      </c>
      <c r="K31" s="23" t="n"/>
    </row>
    <row r="32" ht="20" customHeight="1">
      <c r="B32" s="15" t="inlineStr">
        <is>
          <t>Revenus WifiAudit (€/mois)</t>
        </is>
      </c>
      <c r="C32" s="23" t="n"/>
      <c r="D32" s="18" t="inlineStr">
        <is>
          <t>4 485</t>
        </is>
      </c>
      <c r="E32" s="23" t="n"/>
      <c r="F32" s="24" t="inlineStr">
        <is>
          <t>0</t>
        </is>
      </c>
      <c r="G32" s="23" t="n"/>
      <c r="H32" s="19">
        <f>F32-D32</f>
        <v/>
      </c>
      <c r="I32" s="23" t="n"/>
      <c r="J32" s="20" t="inlineStr">
        <is>
          <t>🔴</t>
        </is>
      </c>
      <c r="K32" s="23" t="n"/>
    </row>
  </sheetData>
  <mergeCells count="49">
    <mergeCell ref="M4:N6"/>
    <mergeCell ref="B4:C6"/>
    <mergeCell ref="J29:K29"/>
    <mergeCell ref="F29:G29"/>
    <mergeCell ref="B3:C3"/>
    <mergeCell ref="H29:I29"/>
    <mergeCell ref="J28:K28"/>
    <mergeCell ref="B31:C31"/>
    <mergeCell ref="B27:C27"/>
    <mergeCell ref="D31:E31"/>
    <mergeCell ref="B24:N24"/>
    <mergeCell ref="H4:I6"/>
    <mergeCell ref="H31:I31"/>
    <mergeCell ref="H30:I30"/>
    <mergeCell ref="J30:K30"/>
    <mergeCell ref="F30:G30"/>
    <mergeCell ref="E4:F6"/>
    <mergeCell ref="D27:E27"/>
    <mergeCell ref="D32:E32"/>
    <mergeCell ref="J27:K27"/>
    <mergeCell ref="F32:G32"/>
    <mergeCell ref="F26:G26"/>
    <mergeCell ref="J26:K26"/>
    <mergeCell ref="B29:C29"/>
    <mergeCell ref="H32:I32"/>
    <mergeCell ref="J32:K32"/>
    <mergeCell ref="B28:C28"/>
    <mergeCell ref="F31:G31"/>
    <mergeCell ref="D28:E28"/>
    <mergeCell ref="F28:G28"/>
    <mergeCell ref="M3:N3"/>
    <mergeCell ref="H28:I28"/>
    <mergeCell ref="J31:K31"/>
    <mergeCell ref="F27:G27"/>
    <mergeCell ref="B2:N2"/>
    <mergeCell ref="H27:I27"/>
    <mergeCell ref="H3:I3"/>
    <mergeCell ref="B30:C30"/>
    <mergeCell ref="D30:E30"/>
    <mergeCell ref="B1:N1"/>
    <mergeCell ref="B8:N8"/>
    <mergeCell ref="D29:E29"/>
    <mergeCell ref="B32:C32"/>
    <mergeCell ref="E3:F3"/>
    <mergeCell ref="B26:C26"/>
    <mergeCell ref="D26:E26"/>
    <mergeCell ref="K4:L6"/>
    <mergeCell ref="K3:L3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2" customWidth="1" min="4" max="4"/>
    <col width="14" customWidth="1" min="5" max="5"/>
    <col width="48" customWidth="1" min="6" max="6"/>
    <col width="35" customWidth="1" min="7" max="7"/>
    <col width="9" customWidth="1" min="8" max="8"/>
    <col width="10" customWidth="1" min="9" max="9"/>
    <col width="10" customWidth="1" min="10" max="10"/>
    <col width="25" customWidth="1" min="11" max="11"/>
  </cols>
  <sheetData>
    <row r="1" ht="32" customHeight="1">
      <c r="A1" s="25" t="inlineStr">
        <is>
          <t>📅  ORNET HomeLab — Plan Tâches Détaillé  ·  Cocher ✓ dans colonne H quand terminé</t>
        </is>
      </c>
    </row>
    <row r="2" ht="22" customHeight="1">
      <c r="A2" s="26" t="inlineStr">
        <is>
          <t>Date</t>
        </is>
      </c>
      <c r="B2" s="26" t="inlineStr">
        <is>
          <t>Jour</t>
        </is>
      </c>
      <c r="C2" s="26" t="inlineStr">
        <is>
          <t>S#</t>
        </is>
      </c>
      <c r="D2" s="26" t="inlineStr">
        <is>
          <t>Créneau</t>
        </is>
      </c>
      <c r="E2" s="26" t="inlineStr">
        <is>
          <t>Segment</t>
        </is>
      </c>
      <c r="F2" s="26" t="inlineStr">
        <is>
          <t>Tâche / Description</t>
        </is>
      </c>
      <c r="G2" s="26" t="inlineStr">
        <is>
          <t>Livrable attendu</t>
        </is>
      </c>
      <c r="H2" s="26" t="inlineStr">
        <is>
          <t>✅ Fait</t>
        </is>
      </c>
      <c r="I2" s="26" t="inlineStr">
        <is>
          <t>Score /5</t>
        </is>
      </c>
      <c r="J2" s="26" t="inlineStr">
        <is>
          <t>Durée</t>
        </is>
      </c>
      <c r="K2" s="26" t="inlineStr">
        <is>
          <t>Notes</t>
        </is>
      </c>
    </row>
    <row r="3" ht="20" customHeight="1">
      <c r="A3" s="27" t="inlineStr">
        <is>
          <t>━━━  SEMAINE 1  ━━━</t>
        </is>
      </c>
    </row>
    <row r="4" ht="32" customHeight="1">
      <c r="A4" s="28" t="inlineStr">
        <is>
          <t>12/05/26</t>
        </is>
      </c>
      <c r="B4" s="28" t="inlineStr">
        <is>
          <t>Mar</t>
        </is>
      </c>
      <c r="C4" s="28" t="n">
        <v>1</v>
      </c>
      <c r="D4" s="28" t="inlineStr">
        <is>
          <t>🏃 Sport</t>
        </is>
      </c>
      <c r="E4" s="29" t="inlineStr">
        <is>
          <t>─</t>
        </is>
      </c>
      <c r="F4" s="30" t="inlineStr">
        <is>
          <t>Cardio 30 min — démarrage formation</t>
        </is>
      </c>
      <c r="G4" s="31" t="inlineStr">
        <is>
          <t>─</t>
        </is>
      </c>
      <c r="H4" s="32" t="inlineStr">
        <is>
          <t>✗</t>
        </is>
      </c>
      <c r="I4" s="28" t="inlineStr">
        <is>
          <t>─</t>
        </is>
      </c>
      <c r="J4" s="28" t="inlineStr">
        <is>
          <t>30 min</t>
        </is>
      </c>
      <c r="K4" s="33" t="n"/>
    </row>
    <row r="5" ht="32" customHeight="1">
      <c r="A5" s="34" t="inlineStr">
        <is>
          <t>12/05/26</t>
        </is>
      </c>
      <c r="B5" s="34" t="inlineStr">
        <is>
          <t>Mar</t>
        </is>
      </c>
      <c r="C5" s="34" t="n">
        <v>1</v>
      </c>
      <c r="D5" s="34" t="inlineStr">
        <is>
          <t>📚 Matin</t>
        </is>
      </c>
      <c r="E5" s="35" t="inlineStr">
        <is>
          <t>Linux</t>
        </is>
      </c>
      <c r="F5" s="36" t="inlineStr">
        <is>
          <t>Setup environnement HomeLab — Ubuntu, dossiers, script setup_homelab.sh</t>
        </is>
      </c>
      <c r="G5" s="37" t="inlineStr">
        <is>
          <t>setup_homelab.sh fonctionnel + structure dossiers créée</t>
        </is>
      </c>
      <c r="H5" s="38" t="inlineStr">
        <is>
          <t>✗</t>
        </is>
      </c>
      <c r="I5" s="34" t="inlineStr">
        <is>
          <t>─</t>
        </is>
      </c>
      <c r="J5" s="34" t="inlineStr">
        <is>
          <t>1h30</t>
        </is>
      </c>
      <c r="K5" s="39" t="n"/>
    </row>
    <row r="6" ht="32" customHeight="1">
      <c r="A6" s="40" t="inlineStr">
        <is>
          <t>12/05/26</t>
        </is>
      </c>
      <c r="B6" s="40" t="inlineStr">
        <is>
          <t>Mar</t>
        </is>
      </c>
      <c r="C6" s="40" t="n">
        <v>1</v>
      </c>
      <c r="D6" s="40" t="inlineStr">
        <is>
          <t>🔧 Soir 1</t>
        </is>
      </c>
      <c r="E6" s="41" t="inlineStr">
        <is>
          <t>WifiAudit SaaS</t>
        </is>
      </c>
      <c r="F6" s="42" t="inlineStr">
        <is>
          <t>Inventaire exports CatC et WLC 9800 disponibles — définir 10 métriques RF</t>
        </is>
      </c>
      <c r="G6" s="43" t="inlineStr">
        <is>
          <t>Doc Notion : spec données input v0.1</t>
        </is>
      </c>
      <c r="H6" s="44" t="inlineStr">
        <is>
          <t>✗</t>
        </is>
      </c>
      <c r="I6" s="40" t="inlineStr">
        <is>
          <t>─</t>
        </is>
      </c>
      <c r="J6" s="40" t="inlineStr">
        <is>
          <t>1h30</t>
        </is>
      </c>
      <c r="K6" s="45" t="n"/>
    </row>
    <row r="7" ht="32" customHeight="1">
      <c r="A7" s="40" t="inlineStr">
        <is>
          <t>12/05/26</t>
        </is>
      </c>
      <c r="B7" s="40" t="inlineStr">
        <is>
          <t>Mar</t>
        </is>
      </c>
      <c r="C7" s="40" t="n">
        <v>1</v>
      </c>
      <c r="D7" s="40" t="inlineStr">
        <is>
          <t>🚀 Soir 2</t>
        </is>
      </c>
      <c r="E7" s="41" t="inlineStr">
        <is>
          <t>WifiAudit SaaS</t>
        </is>
      </c>
      <c r="F7" s="42" t="inlineStr">
        <is>
          <t>Architecture backend — FastAPI + Claude API + PDF + PostgreSQL</t>
        </is>
      </c>
      <c r="G7" s="43" t="inlineStr">
        <is>
          <t>Diagramme architecture WifiAudit v0.1</t>
        </is>
      </c>
      <c r="H7" s="44" t="inlineStr">
        <is>
          <t>✗</t>
        </is>
      </c>
      <c r="I7" s="40" t="inlineStr">
        <is>
          <t>─</t>
        </is>
      </c>
      <c r="J7" s="40" t="inlineStr">
        <is>
          <t>1h15</t>
        </is>
      </c>
      <c r="K7" s="45" t="n"/>
    </row>
    <row r="8" ht="32" customHeight="1">
      <c r="A8" s="28" t="inlineStr">
        <is>
          <t>13/05/26</t>
        </is>
      </c>
      <c r="B8" s="28" t="inlineStr">
        <is>
          <t>Mer</t>
        </is>
      </c>
      <c r="C8" s="28" t="n">
        <v>1</v>
      </c>
      <c r="D8" s="28" t="inlineStr">
        <is>
          <t>🏃 Sport</t>
        </is>
      </c>
      <c r="E8" s="29" t="inlineStr">
        <is>
          <t>─</t>
        </is>
      </c>
      <c r="F8" s="30" t="inlineStr">
        <is>
          <t>Stretching + 20 min marche rapide</t>
        </is>
      </c>
      <c r="G8" s="31" t="inlineStr">
        <is>
          <t>─</t>
        </is>
      </c>
      <c r="H8" s="32" t="inlineStr">
        <is>
          <t>✗</t>
        </is>
      </c>
      <c r="I8" s="28" t="inlineStr">
        <is>
          <t>─</t>
        </is>
      </c>
      <c r="J8" s="28" t="inlineStr">
        <is>
          <t>30 min</t>
        </is>
      </c>
      <c r="K8" s="33" t="n"/>
    </row>
    <row r="9" ht="32" customHeight="1">
      <c r="A9" s="46" t="inlineStr">
        <is>
          <t>13/05/26</t>
        </is>
      </c>
      <c r="B9" s="46" t="inlineStr">
        <is>
          <t>Mer</t>
        </is>
      </c>
      <c r="C9" s="46" t="n">
        <v>1</v>
      </c>
      <c r="D9" s="46" t="inlineStr">
        <is>
          <t>📚 Matin</t>
        </is>
      </c>
      <c r="E9" s="47" t="inlineStr">
        <is>
          <t>NoCode/n8n</t>
        </is>
      </c>
      <c r="F9" s="48" t="inlineStr">
        <is>
          <t>n8n audit + Morning Agent v0.1 — Trigger 5h45 → Claude → brief → Telegram</t>
        </is>
      </c>
      <c r="G9" s="49" t="inlineStr">
        <is>
          <t>Morning Agent v0.1 fonctionnel</t>
        </is>
      </c>
      <c r="H9" s="50" t="inlineStr">
        <is>
          <t>✗</t>
        </is>
      </c>
      <c r="I9" s="46" t="inlineStr">
        <is>
          <t>─</t>
        </is>
      </c>
      <c r="J9" s="46" t="inlineStr">
        <is>
          <t>1h30</t>
        </is>
      </c>
      <c r="K9" s="51" t="n"/>
    </row>
    <row r="10" ht="32" customHeight="1">
      <c r="A10" s="52" t="inlineStr">
        <is>
          <t>13/05/26</t>
        </is>
      </c>
      <c r="B10" s="52" t="inlineStr">
        <is>
          <t>Mer</t>
        </is>
      </c>
      <c r="C10" s="52" t="n">
        <v>1</v>
      </c>
      <c r="D10" s="52" t="inlineStr">
        <is>
          <t>🔧 Soir 1</t>
        </is>
      </c>
      <c r="E10" s="53" t="inlineStr">
        <is>
          <t>ORNET Business</t>
        </is>
      </c>
      <c r="F10" s="54" t="inlineStr">
        <is>
          <t>Catalogue 6 offres ORNET avec pricing — Oracle Business setup</t>
        </is>
      </c>
      <c r="G10" s="55" t="inlineStr">
        <is>
          <t>Catalogue offres v0.1 dans Notion</t>
        </is>
      </c>
      <c r="H10" s="56" t="inlineStr">
        <is>
          <t>✗</t>
        </is>
      </c>
      <c r="I10" s="52" t="inlineStr">
        <is>
          <t>─</t>
        </is>
      </c>
      <c r="J10" s="52" t="inlineStr">
        <is>
          <t>1h30</t>
        </is>
      </c>
      <c r="K10" s="57" t="n"/>
    </row>
    <row r="11" ht="32" customHeight="1">
      <c r="A11" s="52" t="inlineStr">
        <is>
          <t>13/05/26</t>
        </is>
      </c>
      <c r="B11" s="52" t="inlineStr">
        <is>
          <t>Mer</t>
        </is>
      </c>
      <c r="C11" s="52" t="n">
        <v>1</v>
      </c>
      <c r="D11" s="52" t="inlineStr">
        <is>
          <t>🚀 Soir 2</t>
        </is>
      </c>
      <c r="E11" s="53" t="inlineStr">
        <is>
          <t>ORNET Business</t>
        </is>
      </c>
      <c r="F11" s="54" t="inlineStr">
        <is>
          <t>6 modèles de devis Oracle — conditions paiement + relances auto</t>
        </is>
      </c>
      <c r="G11" s="55" t="inlineStr">
        <is>
          <t>6 modèles devis opérationnels dans Oracle</t>
        </is>
      </c>
      <c r="H11" s="56" t="inlineStr">
        <is>
          <t>✗</t>
        </is>
      </c>
      <c r="I11" s="52" t="inlineStr">
        <is>
          <t>─</t>
        </is>
      </c>
      <c r="J11" s="52" t="inlineStr">
        <is>
          <t>1h15</t>
        </is>
      </c>
      <c r="K11" s="57" t="n"/>
    </row>
    <row r="12" ht="32" customHeight="1">
      <c r="A12" s="28" t="inlineStr">
        <is>
          <t>14/05/26</t>
        </is>
      </c>
      <c r="B12" s="28" t="inlineStr">
        <is>
          <t>Jeu</t>
        </is>
      </c>
      <c r="C12" s="28" t="n">
        <v>1</v>
      </c>
      <c r="D12" s="28" t="inlineStr">
        <is>
          <t>🏃 Sport</t>
        </is>
      </c>
      <c r="E12" s="29" t="inlineStr">
        <is>
          <t>─</t>
        </is>
      </c>
      <c r="F12" s="30" t="inlineStr">
        <is>
          <t>Course 30 min</t>
        </is>
      </c>
      <c r="G12" s="31" t="inlineStr">
        <is>
          <t>─</t>
        </is>
      </c>
      <c r="H12" s="32" t="inlineStr">
        <is>
          <t>✗</t>
        </is>
      </c>
      <c r="I12" s="28" t="inlineStr">
        <is>
          <t>─</t>
        </is>
      </c>
      <c r="J12" s="28" t="inlineStr">
        <is>
          <t>30 min</t>
        </is>
      </c>
      <c r="K12" s="33" t="n"/>
    </row>
    <row r="13" ht="32" customHeight="1">
      <c r="A13" s="58" t="inlineStr">
        <is>
          <t>14/05/26</t>
        </is>
      </c>
      <c r="B13" s="58" t="inlineStr">
        <is>
          <t>Jeu</t>
        </is>
      </c>
      <c r="C13" s="58" t="n">
        <v>1</v>
      </c>
      <c r="D13" s="58" t="inlineStr">
        <is>
          <t>📚 Matin</t>
        </is>
      </c>
      <c r="E13" s="59" t="inlineStr">
        <is>
          <t>LinkedIn</t>
        </is>
      </c>
      <c r="F13" s="60" t="inlineStr">
        <is>
          <t>Stratégie contenu mai-juin — post #1 : Python et Network Architect</t>
        </is>
      </c>
      <c r="G13" s="61" t="inlineStr">
        <is>
          <t>Post #1 prêt + image PNG</t>
        </is>
      </c>
      <c r="H13" s="62" t="inlineStr">
        <is>
          <t>✗</t>
        </is>
      </c>
      <c r="I13" s="58" t="inlineStr">
        <is>
          <t>─</t>
        </is>
      </c>
      <c r="J13" s="58" t="inlineStr">
        <is>
          <t>1h30</t>
        </is>
      </c>
      <c r="K13" s="63" t="n"/>
    </row>
    <row r="14" ht="32" customHeight="1">
      <c r="A14" s="40" t="inlineStr">
        <is>
          <t>14/05/26</t>
        </is>
      </c>
      <c r="B14" s="40" t="inlineStr">
        <is>
          <t>Jeu</t>
        </is>
      </c>
      <c r="C14" s="40" t="n">
        <v>1</v>
      </c>
      <c r="D14" s="40" t="inlineStr">
        <is>
          <t>🔧 Soir 1</t>
        </is>
      </c>
      <c r="E14" s="41" t="inlineStr">
        <is>
          <t>WifiAudit SaaS</t>
        </is>
      </c>
      <c r="F14" s="42" t="inlineStr">
        <is>
          <t>parse_catc_export.py — extraire AP/SSID/canal/RSSI/SNR/clients</t>
        </is>
      </c>
      <c r="G14" s="43" t="inlineStr">
        <is>
          <t>Script fonctionnel sur vrai export CatC</t>
        </is>
      </c>
      <c r="H14" s="44" t="inlineStr">
        <is>
          <t>✗</t>
        </is>
      </c>
      <c r="I14" s="40" t="inlineStr">
        <is>
          <t>─</t>
        </is>
      </c>
      <c r="J14" s="40" t="inlineStr">
        <is>
          <t>1h30</t>
        </is>
      </c>
      <c r="K14" s="45" t="n"/>
    </row>
    <row r="15" ht="32" customHeight="1">
      <c r="A15" s="40" t="inlineStr">
        <is>
          <t>14/05/26</t>
        </is>
      </c>
      <c r="B15" s="40" t="inlineStr">
        <is>
          <t>Jeu</t>
        </is>
      </c>
      <c r="C15" s="40" t="n">
        <v>1</v>
      </c>
      <c r="D15" s="40" t="inlineStr">
        <is>
          <t>🚀 Soir 2</t>
        </is>
      </c>
      <c r="E15" s="41" t="inlineStr">
        <is>
          <t>WifiAudit SaaS</t>
        </is>
      </c>
      <c r="F15" s="42" t="inlineStr">
        <is>
          <t>Rapport PDF structure — ReportLab template couverture + sections</t>
        </is>
      </c>
      <c r="G15" s="43" t="inlineStr">
        <is>
          <t>template_rapport_wifiaudit.pdf généré</t>
        </is>
      </c>
      <c r="H15" s="44" t="inlineStr">
        <is>
          <t>✗</t>
        </is>
      </c>
      <c r="I15" s="40" t="inlineStr">
        <is>
          <t>─</t>
        </is>
      </c>
      <c r="J15" s="40" t="inlineStr">
        <is>
          <t>1h15</t>
        </is>
      </c>
      <c r="K15" s="45" t="n"/>
    </row>
    <row r="16" ht="32" customHeight="1">
      <c r="A16" s="28" t="inlineStr">
        <is>
          <t>15/05/26</t>
        </is>
      </c>
      <c r="B16" s="28" t="inlineStr">
        <is>
          <t>Ven</t>
        </is>
      </c>
      <c r="C16" s="28" t="n">
        <v>1</v>
      </c>
      <c r="D16" s="28" t="inlineStr">
        <is>
          <t>🏃 Sport</t>
        </is>
      </c>
      <c r="E16" s="29" t="inlineStr">
        <is>
          <t>─</t>
        </is>
      </c>
      <c r="F16" s="30" t="inlineStr">
        <is>
          <t>HIIT 30 min</t>
        </is>
      </c>
      <c r="G16" s="31" t="inlineStr">
        <is>
          <t>─</t>
        </is>
      </c>
      <c r="H16" s="32" t="inlineStr">
        <is>
          <t>✗</t>
        </is>
      </c>
      <c r="I16" s="28" t="inlineStr">
        <is>
          <t>─</t>
        </is>
      </c>
      <c r="J16" s="28" t="inlineStr">
        <is>
          <t>30 min</t>
        </is>
      </c>
      <c r="K16" s="33" t="n"/>
    </row>
    <row r="17" ht="32" customHeight="1">
      <c r="A17" s="64" t="inlineStr">
        <is>
          <t>15/05/26</t>
        </is>
      </c>
      <c r="B17" s="64" t="inlineStr">
        <is>
          <t>Ven</t>
        </is>
      </c>
      <c r="C17" s="64" t="n">
        <v>1</v>
      </c>
      <c r="D17" s="64" t="inlineStr">
        <is>
          <t>📚 Matin</t>
        </is>
      </c>
      <c r="E17" s="65" t="inlineStr">
        <is>
          <t>Or-net.com</t>
        </is>
      </c>
      <c r="F17" s="66" t="inlineStr">
        <is>
          <t>Audit complet or-net.com — Lighthouse, contenu, structure</t>
        </is>
      </c>
      <c r="G17" s="67" t="inlineStr">
        <is>
          <t>Doc Audit or-net.com v1 dans Notion</t>
        </is>
      </c>
      <c r="H17" s="68" t="inlineStr">
        <is>
          <t>✗</t>
        </is>
      </c>
      <c r="I17" s="64" t="inlineStr">
        <is>
          <t>─</t>
        </is>
      </c>
      <c r="J17" s="64" t="inlineStr">
        <is>
          <t>1h30</t>
        </is>
      </c>
      <c r="K17" s="69" t="n"/>
    </row>
    <row r="18" ht="32" customHeight="1">
      <c r="A18" s="40" t="inlineStr">
        <is>
          <t>15/05/26</t>
        </is>
      </c>
      <c r="B18" s="40" t="inlineStr">
        <is>
          <t>Ven</t>
        </is>
      </c>
      <c r="C18" s="40" t="n">
        <v>1</v>
      </c>
      <c r="D18" s="40" t="inlineStr">
        <is>
          <t>🔧 Soir 1</t>
        </is>
      </c>
      <c r="E18" s="41" t="inlineStr">
        <is>
          <t>WifiAudit SaaS</t>
        </is>
      </c>
      <c r="F18" s="42" t="inlineStr">
        <is>
          <t>parse_wlc_export.py + merge_catc_wlc.py — données unifiées</t>
        </is>
      </c>
      <c r="G18" s="43" t="inlineStr">
        <is>
          <t>Script merge CatC+WLC fonctionnel</t>
        </is>
      </c>
      <c r="H18" s="44" t="inlineStr">
        <is>
          <t>✗</t>
        </is>
      </c>
      <c r="I18" s="40" t="inlineStr">
        <is>
          <t>─</t>
        </is>
      </c>
      <c r="J18" s="40" t="inlineStr">
        <is>
          <t>1h30</t>
        </is>
      </c>
      <c r="K18" s="45" t="n"/>
    </row>
    <row r="19" ht="32" customHeight="1">
      <c r="A19" s="40" t="inlineStr">
        <is>
          <t>15/05/26</t>
        </is>
      </c>
      <c r="B19" s="40" t="inlineStr">
        <is>
          <t>Ven</t>
        </is>
      </c>
      <c r="C19" s="40" t="n">
        <v>1</v>
      </c>
      <c r="D19" s="40" t="inlineStr">
        <is>
          <t>🚀 Soir 2</t>
        </is>
      </c>
      <c r="E19" s="41" t="inlineStr">
        <is>
          <t>WifiAudit SaaS</t>
        </is>
      </c>
      <c r="F19" s="42" t="inlineStr">
        <is>
          <t>Landing page WifiAudit — 5 points amélioration + 3 posts LinkedIn teaser</t>
        </is>
      </c>
      <c r="G19" s="43" t="inlineStr">
        <is>
          <t>Landing page v2 draft + 3 posts prêts</t>
        </is>
      </c>
      <c r="H19" s="44" t="inlineStr">
        <is>
          <t>✗</t>
        </is>
      </c>
      <c r="I19" s="40" t="inlineStr">
        <is>
          <t>─</t>
        </is>
      </c>
      <c r="J19" s="40" t="inlineStr">
        <is>
          <t>1h15</t>
        </is>
      </c>
      <c r="K19" s="45" t="n"/>
    </row>
    <row r="20" ht="32" customHeight="1">
      <c r="A20" s="28" t="inlineStr">
        <is>
          <t>16/05/26</t>
        </is>
      </c>
      <c r="B20" s="28" t="inlineStr">
        <is>
          <t>Sam</t>
        </is>
      </c>
      <c r="C20" s="28" t="n">
        <v>1</v>
      </c>
      <c r="D20" s="28" t="inlineStr">
        <is>
          <t>🏃 Sport</t>
        </is>
      </c>
      <c r="E20" s="29" t="inlineStr">
        <is>
          <t>─</t>
        </is>
      </c>
      <c r="F20" s="30" t="inlineStr">
        <is>
          <t>Marche 45 min (récupération)</t>
        </is>
      </c>
      <c r="G20" s="31" t="inlineStr">
        <is>
          <t>─</t>
        </is>
      </c>
      <c r="H20" s="32" t="inlineStr">
        <is>
          <t>✗</t>
        </is>
      </c>
      <c r="I20" s="28" t="inlineStr">
        <is>
          <t>─</t>
        </is>
      </c>
      <c r="J20" s="28" t="inlineStr">
        <is>
          <t>45 min</t>
        </is>
      </c>
      <c r="K20" s="33" t="n"/>
    </row>
    <row r="21" ht="32" customHeight="1">
      <c r="A21" s="70" t="inlineStr">
        <is>
          <t>16/05/26</t>
        </is>
      </c>
      <c r="B21" s="70" t="inlineStr">
        <is>
          <t>Sam</t>
        </is>
      </c>
      <c r="C21" s="70" t="n">
        <v>1</v>
      </c>
      <c r="D21" s="70" t="inlineStr">
        <is>
          <t>📚 Matin</t>
        </is>
      </c>
      <c r="E21" s="71" t="inlineStr">
        <is>
          <t>Formation</t>
        </is>
      </c>
      <c r="F21" s="72" t="inlineStr">
        <is>
          <t>Session 1 Théo/Alegria — découverte, objectifs, outils</t>
        </is>
      </c>
      <c r="G21" s="73" t="inlineStr">
        <is>
          <t>Plan pédagogique personnalisé dans Notion</t>
        </is>
      </c>
      <c r="H21" s="74" t="inlineStr">
        <is>
          <t>✗</t>
        </is>
      </c>
      <c r="I21" s="70" t="inlineStr">
        <is>
          <t>─</t>
        </is>
      </c>
      <c r="J21" s="70" t="inlineStr">
        <is>
          <t>1h30</t>
        </is>
      </c>
      <c r="K21" s="75" t="n"/>
    </row>
    <row r="22" ht="32" customHeight="1">
      <c r="A22" s="76" t="inlineStr">
        <is>
          <t>16/05/26</t>
        </is>
      </c>
      <c r="B22" s="76" t="inlineStr">
        <is>
          <t>Sam</t>
        </is>
      </c>
      <c r="C22" s="76" t="n">
        <v>1</v>
      </c>
      <c r="D22" s="76" t="inlineStr">
        <is>
          <t>🔧 Soir 1</t>
        </is>
      </c>
      <c r="E22" s="15" t="inlineStr">
        <is>
          <t>Projet libre</t>
        </is>
      </c>
      <c r="F22" s="77" t="inlineStr">
        <is>
          <t>Fast.ai lesson 1 ou Bubble.io exploration</t>
        </is>
      </c>
      <c r="G22" s="78" t="inlineStr">
        <is>
          <t>Notes semaine + idées LinkedIn</t>
        </is>
      </c>
      <c r="H22" s="79" t="inlineStr">
        <is>
          <t>✗</t>
        </is>
      </c>
      <c r="I22" s="76" t="inlineStr">
        <is>
          <t>─</t>
        </is>
      </c>
      <c r="J22" s="76" t="inlineStr">
        <is>
          <t>1h30</t>
        </is>
      </c>
      <c r="K22" s="80" t="n"/>
    </row>
    <row r="23" ht="32" customHeight="1">
      <c r="A23" s="28" t="inlineStr">
        <is>
          <t>17/05/26</t>
        </is>
      </c>
      <c r="B23" s="28" t="inlineStr">
        <is>
          <t>Dim</t>
        </is>
      </c>
      <c r="C23" s="28" t="n">
        <v>1</v>
      </c>
      <c r="D23" s="28" t="inlineStr">
        <is>
          <t>─</t>
        </is>
      </c>
      <c r="E23" s="29" t="inlineStr">
        <is>
          <t>─</t>
        </is>
      </c>
      <c r="F23" s="30" t="inlineStr">
        <is>
          <t>REVUE SEMAINE 1 — Score /10, blocages, Morning Agent OK ?</t>
        </is>
      </c>
      <c r="G23" s="31" t="inlineStr">
        <is>
          <t>Tracker Notion mis à jour</t>
        </is>
      </c>
      <c r="H23" s="32" t="inlineStr">
        <is>
          <t>✗</t>
        </is>
      </c>
      <c r="I23" s="28" t="inlineStr">
        <is>
          <t>─</t>
        </is>
      </c>
      <c r="J23" s="28" t="inlineStr">
        <is>
          <t>30 min</t>
        </is>
      </c>
      <c r="K23" s="33" t="n"/>
    </row>
    <row r="24" ht="32" customHeight="1">
      <c r="A24" s="28" t="inlineStr">
        <is>
          <t>17/05/26</t>
        </is>
      </c>
      <c r="B24" s="28" t="inlineStr">
        <is>
          <t>Dim</t>
        </is>
      </c>
      <c r="C24" s="28" t="n">
        <v>1</v>
      </c>
      <c r="D24" s="28" t="inlineStr">
        <is>
          <t>─</t>
        </is>
      </c>
      <c r="E24" s="29" t="inlineStr">
        <is>
          <t>─</t>
        </is>
      </c>
      <c r="F24" s="30" t="inlineStr">
        <is>
          <t>PLAN SEMAINE 2 DÉTAILLÉ — préparer ressources</t>
        </is>
      </c>
      <c r="G24" s="31" t="inlineStr">
        <is>
          <t>Planning S2 prêt</t>
        </is>
      </c>
      <c r="H24" s="32" t="inlineStr">
        <is>
          <t>✗</t>
        </is>
      </c>
      <c r="I24" s="28" t="inlineStr">
        <is>
          <t>─</t>
        </is>
      </c>
      <c r="J24" s="28" t="inlineStr">
        <is>
          <t>1h15</t>
        </is>
      </c>
      <c r="K24" s="33" t="n"/>
    </row>
    <row r="25" ht="20" customHeight="1">
      <c r="A25" s="27" t="inlineStr">
        <is>
          <t>━━━  SEMAINE 2  ━━━</t>
        </is>
      </c>
    </row>
    <row r="26" ht="32" customHeight="1">
      <c r="A26" s="28" t="inlineStr">
        <is>
          <t>19/05/26</t>
        </is>
      </c>
      <c r="B26" s="28" t="inlineStr">
        <is>
          <t>Lun</t>
        </is>
      </c>
      <c r="C26" s="28" t="n">
        <v>2</v>
      </c>
      <c r="D26" s="28" t="inlineStr">
        <is>
          <t>🏃 Sport</t>
        </is>
      </c>
      <c r="E26" s="29" t="inlineStr">
        <is>
          <t>─</t>
        </is>
      </c>
      <c r="F26" s="30" t="inlineStr">
        <is>
          <t>Cardio 30 min</t>
        </is>
      </c>
      <c r="G26" s="31" t="inlineStr">
        <is>
          <t>─</t>
        </is>
      </c>
      <c r="H26" s="32" t="inlineStr">
        <is>
          <t>✗</t>
        </is>
      </c>
      <c r="I26" s="28" t="inlineStr">
        <is>
          <t>─</t>
        </is>
      </c>
      <c r="J26" s="28" t="inlineStr">
        <is>
          <t>30 min</t>
        </is>
      </c>
      <c r="K26" s="33" t="n"/>
    </row>
    <row r="27" ht="32" customHeight="1">
      <c r="A27" s="81" t="inlineStr">
        <is>
          <t>19/05/26</t>
        </is>
      </c>
      <c r="B27" s="81" t="inlineStr">
        <is>
          <t>Lun</t>
        </is>
      </c>
      <c r="C27" s="81" t="n">
        <v>2</v>
      </c>
      <c r="D27" s="81" t="inlineStr">
        <is>
          <t>📚 Matin</t>
        </is>
      </c>
      <c r="E27" s="82" t="inlineStr">
        <is>
          <t>IA/ML</t>
        </is>
      </c>
      <c r="F27" s="83" t="inlineStr">
        <is>
          <t>Python fondamentaux — venv, NumPy, Pandas, notebook 01_python_bases.ipynb</t>
        </is>
      </c>
      <c r="G27" s="84" t="inlineStr">
        <is>
          <t>notebook + fonction parse_csv_data() testée</t>
        </is>
      </c>
      <c r="H27" s="85" t="inlineStr">
        <is>
          <t>✗</t>
        </is>
      </c>
      <c r="I27" s="81" t="inlineStr">
        <is>
          <t>─</t>
        </is>
      </c>
      <c r="J27" s="81" t="inlineStr">
        <is>
          <t>1h30</t>
        </is>
      </c>
      <c r="K27" s="86" t="n"/>
    </row>
    <row r="28" ht="32" customHeight="1">
      <c r="A28" s="87" t="inlineStr">
        <is>
          <t>19/05/26</t>
        </is>
      </c>
      <c r="B28" s="87" t="inlineStr">
        <is>
          <t>Lun</t>
        </is>
      </c>
      <c r="C28" s="87" t="n">
        <v>2</v>
      </c>
      <c r="D28" s="87" t="inlineStr">
        <is>
          <t>🔧 Soir 1</t>
        </is>
      </c>
      <c r="E28" s="88" t="inlineStr">
        <is>
          <t>Réseau CatC</t>
        </is>
      </c>
      <c r="F28" s="89" t="inlineStr">
        <is>
          <t>CatC API — GET /site + /network-device · catc_test.py fonctionnel</t>
        </is>
      </c>
      <c r="G28" s="90" t="inlineStr">
        <is>
          <t>catc_test.py avec token d'authentification</t>
        </is>
      </c>
      <c r="H28" s="91" t="inlineStr">
        <is>
          <t>✗</t>
        </is>
      </c>
      <c r="I28" s="87" t="inlineStr">
        <is>
          <t>─</t>
        </is>
      </c>
      <c r="J28" s="87" t="inlineStr">
        <is>
          <t>1h30</t>
        </is>
      </c>
      <c r="K28" s="92" t="n"/>
    </row>
    <row r="29" ht="32" customHeight="1">
      <c r="A29" s="87" t="inlineStr">
        <is>
          <t>19/05/26</t>
        </is>
      </c>
      <c r="B29" s="87" t="inlineStr">
        <is>
          <t>Lun</t>
        </is>
      </c>
      <c r="C29" s="87" t="n">
        <v>2</v>
      </c>
      <c r="D29" s="87" t="inlineStr">
        <is>
          <t>🚀 Soir 2</t>
        </is>
      </c>
      <c r="E29" s="88" t="inlineStr">
        <is>
          <t>Réseau CatC</t>
        </is>
      </c>
      <c r="F29" s="89" t="inlineStr">
        <is>
          <t>CatC Wireless Assurance — mapper KPIs → colonnes WifiAudit</t>
        </is>
      </c>
      <c r="G29" s="90" t="inlineStr">
        <is>
          <t>Tableau mapping dans Notion</t>
        </is>
      </c>
      <c r="H29" s="91" t="inlineStr">
        <is>
          <t>✗</t>
        </is>
      </c>
      <c r="I29" s="87" t="inlineStr">
        <is>
          <t>─</t>
        </is>
      </c>
      <c r="J29" s="87" t="inlineStr">
        <is>
          <t>1h15</t>
        </is>
      </c>
      <c r="K29" s="92" t="n"/>
    </row>
    <row r="30" ht="32" customHeight="1">
      <c r="A30" s="28" t="inlineStr">
        <is>
          <t>20/05/26</t>
        </is>
      </c>
      <c r="B30" s="28" t="inlineStr">
        <is>
          <t>Mar</t>
        </is>
      </c>
      <c r="C30" s="28" t="n">
        <v>2</v>
      </c>
      <c r="D30" s="28" t="inlineStr">
        <is>
          <t>🏃 Sport</t>
        </is>
      </c>
      <c r="E30" s="29" t="inlineStr">
        <is>
          <t>─</t>
        </is>
      </c>
      <c r="F30" s="30" t="inlineStr">
        <is>
          <t>Course 30 min</t>
        </is>
      </c>
      <c r="G30" s="31" t="inlineStr">
        <is>
          <t>─</t>
        </is>
      </c>
      <c r="H30" s="32" t="inlineStr">
        <is>
          <t>✗</t>
        </is>
      </c>
      <c r="I30" s="28" t="inlineStr">
        <is>
          <t>─</t>
        </is>
      </c>
      <c r="J30" s="28" t="inlineStr">
        <is>
          <t>30 min</t>
        </is>
      </c>
      <c r="K30" s="33" t="n"/>
    </row>
    <row r="31" ht="32" customHeight="1">
      <c r="A31" s="34" t="inlineStr">
        <is>
          <t>20/05/26</t>
        </is>
      </c>
      <c r="B31" s="34" t="inlineStr">
        <is>
          <t>Mar</t>
        </is>
      </c>
      <c r="C31" s="34" t="n">
        <v>2</v>
      </c>
      <c r="D31" s="34" t="inlineStr">
        <is>
          <t>📚 Matin</t>
        </is>
      </c>
      <c r="E31" s="35" t="inlineStr">
        <is>
          <t>Linux</t>
        </is>
      </c>
      <c r="F31" s="36" t="inlineStr">
        <is>
          <t>SSH ed25519 + config ~/.ssh/config + sécurisation + script secure_ssh.sh</t>
        </is>
      </c>
      <c r="G31" s="37" t="inlineStr">
        <is>
          <t>Accès SSH sécurisé VPS fonctionnel</t>
        </is>
      </c>
      <c r="H31" s="38" t="inlineStr">
        <is>
          <t>✗</t>
        </is>
      </c>
      <c r="I31" s="34" t="inlineStr">
        <is>
          <t>─</t>
        </is>
      </c>
      <c r="J31" s="34" t="inlineStr">
        <is>
          <t>1h30</t>
        </is>
      </c>
      <c r="K31" s="39" t="n"/>
    </row>
    <row r="32" ht="32" customHeight="1">
      <c r="A32" s="40" t="inlineStr">
        <is>
          <t>20/05/26</t>
        </is>
      </c>
      <c r="B32" s="40" t="inlineStr">
        <is>
          <t>Mar</t>
        </is>
      </c>
      <c r="C32" s="40" t="n">
        <v>2</v>
      </c>
      <c r="D32" s="40" t="inlineStr">
        <is>
          <t>🔧 Soir 1</t>
        </is>
      </c>
      <c r="E32" s="41" t="inlineStr">
        <is>
          <t>WifiAudit SaaS</t>
        </is>
      </c>
      <c r="F32" s="42" t="inlineStr">
        <is>
          <t>Algorithmes scoring RF — score_rf_metrics() Python testé sur données réelles</t>
        </is>
      </c>
      <c r="G32" s="43" t="inlineStr">
        <is>
          <t>Fonction scoring testée + valeurs de référence</t>
        </is>
      </c>
      <c r="H32" s="44" t="inlineStr">
        <is>
          <t>✗</t>
        </is>
      </c>
      <c r="I32" s="40" t="inlineStr">
        <is>
          <t>─</t>
        </is>
      </c>
      <c r="J32" s="40" t="inlineStr">
        <is>
          <t>1h30</t>
        </is>
      </c>
      <c r="K32" s="45" t="n"/>
    </row>
    <row r="33" ht="32" customHeight="1">
      <c r="A33" s="40" t="inlineStr">
        <is>
          <t>20/05/26</t>
        </is>
      </c>
      <c r="B33" s="40" t="inlineStr">
        <is>
          <t>Mar</t>
        </is>
      </c>
      <c r="C33" s="40" t="n">
        <v>2</v>
      </c>
      <c r="D33" s="40" t="inlineStr">
        <is>
          <t>🚀 Soir 2</t>
        </is>
      </c>
      <c r="E33" s="41" t="inlineStr">
        <is>
          <t>WifiAudit SaaS</t>
        </is>
      </c>
      <c r="F33" s="42" t="inlineStr">
        <is>
          <t>Entretien validation #1 prep — guide 15 questions + contact prospect</t>
        </is>
      </c>
      <c r="G33" s="43" t="inlineStr">
        <is>
          <t>Guide prêt + call planifié</t>
        </is>
      </c>
      <c r="H33" s="44" t="inlineStr">
        <is>
          <t>✗</t>
        </is>
      </c>
      <c r="I33" s="40" t="inlineStr">
        <is>
          <t>─</t>
        </is>
      </c>
      <c r="J33" s="40" t="inlineStr">
        <is>
          <t>1h15</t>
        </is>
      </c>
      <c r="K33" s="45" t="n"/>
    </row>
    <row r="34" ht="32" customHeight="1">
      <c r="A34" s="28" t="inlineStr">
        <is>
          <t>21/05/26</t>
        </is>
      </c>
      <c r="B34" s="28" t="inlineStr">
        <is>
          <t>Mer</t>
        </is>
      </c>
      <c r="C34" s="28" t="n">
        <v>2</v>
      </c>
      <c r="D34" s="28" t="inlineStr">
        <is>
          <t>🏃 Sport</t>
        </is>
      </c>
      <c r="E34" s="29" t="inlineStr">
        <is>
          <t>─</t>
        </is>
      </c>
      <c r="F34" s="30" t="inlineStr">
        <is>
          <t>Vélo 30 min</t>
        </is>
      </c>
      <c r="G34" s="31" t="inlineStr">
        <is>
          <t>─</t>
        </is>
      </c>
      <c r="H34" s="32" t="inlineStr">
        <is>
          <t>✗</t>
        </is>
      </c>
      <c r="I34" s="28" t="inlineStr">
        <is>
          <t>─</t>
        </is>
      </c>
      <c r="J34" s="28" t="inlineStr">
        <is>
          <t>30 min</t>
        </is>
      </c>
      <c r="K34" s="33" t="n"/>
    </row>
    <row r="35" ht="32" customHeight="1">
      <c r="A35" s="46" t="inlineStr">
        <is>
          <t>21/05/26</t>
        </is>
      </c>
      <c r="B35" s="46" t="inlineStr">
        <is>
          <t>Mer</t>
        </is>
      </c>
      <c r="C35" s="46" t="n">
        <v>2</v>
      </c>
      <c r="D35" s="46" t="inlineStr">
        <is>
          <t>📚 Matin</t>
        </is>
      </c>
      <c r="E35" s="47" t="inlineStr">
        <is>
          <t>NoCode/n8n</t>
        </is>
      </c>
      <c r="F35" s="48" t="inlineStr">
        <is>
          <t>Morning Agent v0.2 — image LinkedIn via Pillow + validation Romaric</t>
        </is>
      </c>
      <c r="G35" s="49" t="inlineStr">
        <is>
          <t>Morning Agent v0.2 avec génération image</t>
        </is>
      </c>
      <c r="H35" s="50" t="inlineStr">
        <is>
          <t>✗</t>
        </is>
      </c>
      <c r="I35" s="46" t="inlineStr">
        <is>
          <t>─</t>
        </is>
      </c>
      <c r="J35" s="46" t="inlineStr">
        <is>
          <t>1h30</t>
        </is>
      </c>
      <c r="K35" s="51" t="n"/>
    </row>
    <row r="36" ht="32" customHeight="1">
      <c r="A36" s="52" t="inlineStr">
        <is>
          <t>21/05/26</t>
        </is>
      </c>
      <c r="B36" s="52" t="inlineStr">
        <is>
          <t>Mer</t>
        </is>
      </c>
      <c r="C36" s="52" t="n">
        <v>2</v>
      </c>
      <c r="D36" s="52" t="inlineStr">
        <is>
          <t>🔧 Soir 1</t>
        </is>
      </c>
      <c r="E36" s="53" t="inlineStr">
        <is>
          <t>ORNET Business</t>
        </is>
      </c>
      <c r="F36" s="54" t="inlineStr">
        <is>
          <t>Présentation Gamma ORNET 10 slides — Problème/Solution/Services/Prix</t>
        </is>
      </c>
      <c r="G36" s="55" t="inlineStr">
        <is>
          <t>Deck Gamma finalisé et partageable</t>
        </is>
      </c>
      <c r="H36" s="56" t="inlineStr">
        <is>
          <t>✗</t>
        </is>
      </c>
      <c r="I36" s="52" t="inlineStr">
        <is>
          <t>─</t>
        </is>
      </c>
      <c r="J36" s="52" t="inlineStr">
        <is>
          <t>1h30</t>
        </is>
      </c>
      <c r="K36" s="57" t="n"/>
    </row>
    <row r="37" ht="32" customHeight="1">
      <c r="A37" s="52" t="inlineStr">
        <is>
          <t>21/05/26</t>
        </is>
      </c>
      <c r="B37" s="52" t="inlineStr">
        <is>
          <t>Mer</t>
        </is>
      </c>
      <c r="C37" s="52" t="n">
        <v>2</v>
      </c>
      <c r="D37" s="52" t="inlineStr">
        <is>
          <t>🚀 Soir 2</t>
        </is>
      </c>
      <c r="E37" s="53" t="inlineStr">
        <is>
          <t>ORNET Business</t>
        </is>
      </c>
      <c r="F37" s="54" t="inlineStr">
        <is>
          <t>Pipeline commercial Notion — 20 premiers prospects importés</t>
        </is>
      </c>
      <c r="G37" s="55" t="inlineStr">
        <is>
          <t>CRM léger Notion opérationnel</t>
        </is>
      </c>
      <c r="H37" s="56" t="inlineStr">
        <is>
          <t>✗</t>
        </is>
      </c>
      <c r="I37" s="52" t="inlineStr">
        <is>
          <t>─</t>
        </is>
      </c>
      <c r="J37" s="52" t="inlineStr">
        <is>
          <t>1h15</t>
        </is>
      </c>
      <c r="K37" s="57" t="n"/>
    </row>
    <row r="38" ht="32" customHeight="1">
      <c r="A38" s="28" t="inlineStr">
        <is>
          <t>22/05/26</t>
        </is>
      </c>
      <c r="B38" s="28" t="inlineStr">
        <is>
          <t>Jeu</t>
        </is>
      </c>
      <c r="C38" s="28" t="n">
        <v>2</v>
      </c>
      <c r="D38" s="28" t="inlineStr">
        <is>
          <t>🏃 Sport</t>
        </is>
      </c>
      <c r="E38" s="29" t="inlineStr">
        <is>
          <t>─</t>
        </is>
      </c>
      <c r="F38" s="30" t="inlineStr">
        <is>
          <t>HIIT 30 min</t>
        </is>
      </c>
      <c r="G38" s="31" t="inlineStr">
        <is>
          <t>─</t>
        </is>
      </c>
      <c r="H38" s="32" t="inlineStr">
        <is>
          <t>✗</t>
        </is>
      </c>
      <c r="I38" s="28" t="inlineStr">
        <is>
          <t>─</t>
        </is>
      </c>
      <c r="J38" s="28" t="inlineStr">
        <is>
          <t>30 min</t>
        </is>
      </c>
      <c r="K38" s="33" t="n"/>
    </row>
    <row r="39" ht="32" customHeight="1">
      <c r="A39" s="58" t="inlineStr">
        <is>
          <t>22/05/26</t>
        </is>
      </c>
      <c r="B39" s="58" t="inlineStr">
        <is>
          <t>Jeu</t>
        </is>
      </c>
      <c r="C39" s="58" t="n">
        <v>2</v>
      </c>
      <c r="D39" s="58" t="inlineStr">
        <is>
          <t>📚 Matin</t>
        </is>
      </c>
      <c r="E39" s="59" t="inlineStr">
        <is>
          <t>LinkedIn</t>
        </is>
      </c>
      <c r="F39" s="60" t="inlineStr">
        <is>
          <t>Publier post #1 + rédiger post #2 WifiAudit AI — image Pillow</t>
        </is>
      </c>
      <c r="G39" s="61" t="inlineStr">
        <is>
          <t>Post #1 live + stats à J+1</t>
        </is>
      </c>
      <c r="H39" s="62" t="inlineStr">
        <is>
          <t>✗</t>
        </is>
      </c>
      <c r="I39" s="58" t="inlineStr">
        <is>
          <t>─</t>
        </is>
      </c>
      <c r="J39" s="58" t="inlineStr">
        <is>
          <t>1h30</t>
        </is>
      </c>
      <c r="K39" s="63" t="n"/>
    </row>
    <row r="40" ht="32" customHeight="1">
      <c r="A40" s="40" t="inlineStr">
        <is>
          <t>22/05/26</t>
        </is>
      </c>
      <c r="B40" s="40" t="inlineStr">
        <is>
          <t>Jeu</t>
        </is>
      </c>
      <c r="C40" s="40" t="n">
        <v>2</v>
      </c>
      <c r="D40" s="40" t="inlineStr">
        <is>
          <t>🔧 Soir 1</t>
        </is>
      </c>
      <c r="E40" s="41" t="inlineStr">
        <is>
          <t>WifiAudit SaaS</t>
        </is>
      </c>
      <c r="F40" s="42" t="inlineStr">
        <is>
          <t>FastAPI setup — main.py + endpoint /health + endpoint /upload</t>
        </is>
      </c>
      <c r="G40" s="43" t="inlineStr">
        <is>
          <t>API FastAPI démarrée + testée Postman</t>
        </is>
      </c>
      <c r="H40" s="44" t="inlineStr">
        <is>
          <t>✗</t>
        </is>
      </c>
      <c r="I40" s="40" t="inlineStr">
        <is>
          <t>─</t>
        </is>
      </c>
      <c r="J40" s="40" t="inlineStr">
        <is>
          <t>1h30</t>
        </is>
      </c>
      <c r="K40" s="45" t="n"/>
    </row>
    <row r="41" ht="32" customHeight="1">
      <c r="A41" s="40" t="inlineStr">
        <is>
          <t>22/05/26</t>
        </is>
      </c>
      <c r="B41" s="40" t="inlineStr">
        <is>
          <t>Jeu</t>
        </is>
      </c>
      <c r="C41" s="40" t="n">
        <v>2</v>
      </c>
      <c r="D41" s="40" t="inlineStr">
        <is>
          <t>🚀 Soir 2</t>
        </is>
      </c>
      <c r="E41" s="41" t="inlineStr">
        <is>
          <t>WifiAudit SaaS</t>
        </is>
      </c>
      <c r="F41" s="42" t="inlineStr">
        <is>
          <t>Entretien validation #1 — 30-45 min, focus processus actuel</t>
        </is>
      </c>
      <c r="G41" s="43" t="inlineStr">
        <is>
          <t>Retours documentés dans Notion</t>
        </is>
      </c>
      <c r="H41" s="44" t="inlineStr">
        <is>
          <t>✗</t>
        </is>
      </c>
      <c r="I41" s="40" t="inlineStr">
        <is>
          <t>─</t>
        </is>
      </c>
      <c r="J41" s="40" t="inlineStr">
        <is>
          <t>1h15</t>
        </is>
      </c>
      <c r="K41" s="45" t="n"/>
    </row>
    <row r="42" ht="32" customHeight="1">
      <c r="A42" s="28" t="inlineStr">
        <is>
          <t>23/05/26</t>
        </is>
      </c>
      <c r="B42" s="28" t="inlineStr">
        <is>
          <t>Ven</t>
        </is>
      </c>
      <c r="C42" s="28" t="n">
        <v>2</v>
      </c>
      <c r="D42" s="28" t="inlineStr">
        <is>
          <t>🏃 Sport</t>
        </is>
      </c>
      <c r="E42" s="29" t="inlineStr">
        <is>
          <t>─</t>
        </is>
      </c>
      <c r="F42" s="30" t="inlineStr">
        <is>
          <t>Marche rapide 30 min</t>
        </is>
      </c>
      <c r="G42" s="31" t="inlineStr">
        <is>
          <t>─</t>
        </is>
      </c>
      <c r="H42" s="32" t="inlineStr">
        <is>
          <t>✗</t>
        </is>
      </c>
      <c r="I42" s="28" t="inlineStr">
        <is>
          <t>─</t>
        </is>
      </c>
      <c r="J42" s="28" t="inlineStr">
        <is>
          <t>30 min</t>
        </is>
      </c>
      <c r="K42" s="33" t="n"/>
    </row>
    <row r="43" ht="32" customHeight="1">
      <c r="A43" s="64" t="inlineStr">
        <is>
          <t>23/05/26</t>
        </is>
      </c>
      <c r="B43" s="64" t="inlineStr">
        <is>
          <t>Ven</t>
        </is>
      </c>
      <c r="C43" s="64" t="n">
        <v>2</v>
      </c>
      <c r="D43" s="64" t="inlineStr">
        <is>
          <t>📚 Matin</t>
        </is>
      </c>
      <c r="E43" s="65" t="inlineStr">
        <is>
          <t>Or-net.com</t>
        </is>
      </c>
      <c r="F43" s="66" t="inlineStr">
        <is>
          <t>Plan refonte or-net.com — wireframe + texte page Accueil v1</t>
        </is>
      </c>
      <c r="G43" s="67" t="inlineStr">
        <is>
          <t>Wireframe validé + texte Accueil</t>
        </is>
      </c>
      <c r="H43" s="68" t="inlineStr">
        <is>
          <t>✗</t>
        </is>
      </c>
      <c r="I43" s="64" t="inlineStr">
        <is>
          <t>─</t>
        </is>
      </c>
      <c r="J43" s="64" t="inlineStr">
        <is>
          <t>1h30</t>
        </is>
      </c>
      <c r="K43" s="69" t="n"/>
    </row>
    <row r="44" ht="32" customHeight="1">
      <c r="A44" s="40" t="inlineStr">
        <is>
          <t>23/05/26</t>
        </is>
      </c>
      <c r="B44" s="40" t="inlineStr">
        <is>
          <t>Ven</t>
        </is>
      </c>
      <c r="C44" s="40" t="n">
        <v>2</v>
      </c>
      <c r="D44" s="40" t="inlineStr">
        <is>
          <t>🔧 Soir 1</t>
        </is>
      </c>
      <c r="E44" s="41" t="inlineStr">
        <is>
          <t>WifiAudit SaaS</t>
        </is>
      </c>
      <c r="F44" s="42" t="inlineStr">
        <is>
          <t>Premier rapport PDF complet — parse CatC + WLC + score + PDF</t>
        </is>
      </c>
      <c r="G44" s="43" t="inlineStr">
        <is>
          <t>rapport_test_001.pdf généré auto</t>
        </is>
      </c>
      <c r="H44" s="44" t="inlineStr">
        <is>
          <t>✗</t>
        </is>
      </c>
      <c r="I44" s="40" t="inlineStr">
        <is>
          <t>─</t>
        </is>
      </c>
      <c r="J44" s="40" t="inlineStr">
        <is>
          <t>1h30</t>
        </is>
      </c>
      <c r="K44" s="45" t="n"/>
    </row>
    <row r="45" ht="32" customHeight="1">
      <c r="A45" s="40" t="inlineStr">
        <is>
          <t>23/05/26</t>
        </is>
      </c>
      <c r="B45" s="40" t="inlineStr">
        <is>
          <t>Ven</t>
        </is>
      </c>
      <c r="C45" s="40" t="n">
        <v>2</v>
      </c>
      <c r="D45" s="40" t="inlineStr">
        <is>
          <t>🚀 Soir 2</t>
        </is>
      </c>
      <c r="E45" s="41" t="inlineStr">
        <is>
          <t>WifiAudit SaaS</t>
        </is>
      </c>
      <c r="F45" s="42" t="inlineStr">
        <is>
          <t>Comparaison PRE/POST — delta RSSI/SNR + graphiques matplotlib</t>
        </is>
      </c>
      <c r="G45" s="43" t="inlineStr">
        <is>
          <t>Rapport comparatif avec graphiques</t>
        </is>
      </c>
      <c r="H45" s="44" t="inlineStr">
        <is>
          <t>✗</t>
        </is>
      </c>
      <c r="I45" s="40" t="inlineStr">
        <is>
          <t>─</t>
        </is>
      </c>
      <c r="J45" s="40" t="inlineStr">
        <is>
          <t>1h15</t>
        </is>
      </c>
      <c r="K45" s="45" t="n"/>
    </row>
    <row r="46" ht="32" customHeight="1">
      <c r="A46" s="28" t="inlineStr">
        <is>
          <t>24/05/26</t>
        </is>
      </c>
      <c r="B46" s="28" t="inlineStr">
        <is>
          <t>Sam</t>
        </is>
      </c>
      <c r="C46" s="28" t="n">
        <v>2</v>
      </c>
      <c r="D46" s="28" t="inlineStr">
        <is>
          <t>🏃 Sport</t>
        </is>
      </c>
      <c r="E46" s="29" t="inlineStr">
        <is>
          <t>─</t>
        </is>
      </c>
      <c r="F46" s="30" t="inlineStr">
        <is>
          <t>Sport 45 min</t>
        </is>
      </c>
      <c r="G46" s="31" t="inlineStr">
        <is>
          <t>─</t>
        </is>
      </c>
      <c r="H46" s="32" t="inlineStr">
        <is>
          <t>✗</t>
        </is>
      </c>
      <c r="I46" s="28" t="inlineStr">
        <is>
          <t>─</t>
        </is>
      </c>
      <c r="J46" s="28" t="inlineStr">
        <is>
          <t>45 min</t>
        </is>
      </c>
      <c r="K46" s="33" t="n"/>
    </row>
    <row r="47" ht="32" customHeight="1">
      <c r="A47" s="70" t="inlineStr">
        <is>
          <t>24/05/26</t>
        </is>
      </c>
      <c r="B47" s="70" t="inlineStr">
        <is>
          <t>Sam</t>
        </is>
      </c>
      <c r="C47" s="70" t="n">
        <v>2</v>
      </c>
      <c r="D47" s="70" t="inlineStr">
        <is>
          <t>📚 Matin</t>
        </is>
      </c>
      <c r="E47" s="71" t="inlineStr">
        <is>
          <t>Formation</t>
        </is>
      </c>
      <c r="F47" s="72" t="inlineStr">
        <is>
          <t>Session 2 Théo/Alegria — mini-projet pratique</t>
        </is>
      </c>
      <c r="G47" s="73" t="inlineStr">
        <is>
          <t>Progression documentée Notion</t>
        </is>
      </c>
      <c r="H47" s="74" t="inlineStr">
        <is>
          <t>✗</t>
        </is>
      </c>
      <c r="I47" s="70" t="inlineStr">
        <is>
          <t>─</t>
        </is>
      </c>
      <c r="J47" s="70" t="inlineStr">
        <is>
          <t>1h30</t>
        </is>
      </c>
      <c r="K47" s="75" t="n"/>
    </row>
    <row r="48" ht="32" customHeight="1">
      <c r="A48" s="28" t="inlineStr">
        <is>
          <t>25/05/26</t>
        </is>
      </c>
      <c r="B48" s="28" t="inlineStr">
        <is>
          <t>Dim</t>
        </is>
      </c>
      <c r="C48" s="28" t="n">
        <v>2</v>
      </c>
      <c r="D48" s="28" t="inlineStr">
        <is>
          <t>─</t>
        </is>
      </c>
      <c r="E48" s="29" t="inlineStr">
        <is>
          <t>─</t>
        </is>
      </c>
      <c r="F48" s="30" t="inlineStr">
        <is>
          <t>REVUE SEMAINE 2 — score, post LI #1 retours, rapport PDF qualité</t>
        </is>
      </c>
      <c r="G48" s="31" t="inlineStr">
        <is>
          <t>Tracker Notion mis à jour</t>
        </is>
      </c>
      <c r="H48" s="32" t="inlineStr">
        <is>
          <t>✗</t>
        </is>
      </c>
      <c r="I48" s="28" t="inlineStr">
        <is>
          <t>─</t>
        </is>
      </c>
      <c r="J48" s="28" t="inlineStr">
        <is>
          <t>30 min</t>
        </is>
      </c>
      <c r="K48" s="33" t="n"/>
    </row>
    <row r="49" ht="20" customHeight="1">
      <c r="A49" s="27" t="inlineStr">
        <is>
          <t>━━━  SEMAINE 3  ━━━</t>
        </is>
      </c>
    </row>
    <row r="50" ht="32" customHeight="1">
      <c r="A50" s="81" t="inlineStr">
        <is>
          <t>26/05/26</t>
        </is>
      </c>
      <c r="B50" s="81" t="inlineStr">
        <is>
          <t>Lun</t>
        </is>
      </c>
      <c r="C50" s="81" t="n">
        <v>3</v>
      </c>
      <c r="D50" s="81" t="inlineStr">
        <is>
          <t>📚 Matin</t>
        </is>
      </c>
      <c r="E50" s="82" t="inlineStr">
        <is>
          <t>IA/ML</t>
        </is>
      </c>
      <c r="F50" s="83" t="inlineStr">
        <is>
          <t>NumPy + Pandas — analyse 100 APs CatC, histogrammes RSSI/SNR</t>
        </is>
      </c>
      <c r="G50" s="84" t="inlineStr">
        <is>
          <t>notebook 02_numpy_pandas.ipynb complet</t>
        </is>
      </c>
      <c r="H50" s="85" t="inlineStr">
        <is>
          <t>✗</t>
        </is>
      </c>
      <c r="I50" s="81" t="inlineStr">
        <is>
          <t>─</t>
        </is>
      </c>
      <c r="J50" s="81" t="inlineStr">
        <is>
          <t>1h30</t>
        </is>
      </c>
      <c r="K50" s="86" t="n"/>
    </row>
    <row r="51" ht="32" customHeight="1">
      <c r="A51" s="87" t="inlineStr">
        <is>
          <t>26/05/26</t>
        </is>
      </c>
      <c r="B51" s="87" t="inlineStr">
        <is>
          <t>Lun</t>
        </is>
      </c>
      <c r="C51" s="87" t="n">
        <v>3</v>
      </c>
      <c r="D51" s="87" t="inlineStr">
        <is>
          <t>🔧 Soir 1</t>
        </is>
      </c>
      <c r="E51" s="88" t="inlineStr">
        <is>
          <t>Réseau CatC</t>
        </is>
      </c>
      <c r="F51" s="89" t="inlineStr">
        <is>
          <t>catc_full_inventory.py — APs/clients/SSIDs + gestion token refresh</t>
        </is>
      </c>
      <c r="G51" s="90" t="inlineStr">
        <is>
          <t>Inventaire complet CSV + JSON</t>
        </is>
      </c>
      <c r="H51" s="91" t="inlineStr">
        <is>
          <t>✗</t>
        </is>
      </c>
      <c r="I51" s="87" t="inlineStr">
        <is>
          <t>─</t>
        </is>
      </c>
      <c r="J51" s="87" t="inlineStr">
        <is>
          <t>1h30</t>
        </is>
      </c>
      <c r="K51" s="92" t="n"/>
    </row>
    <row r="52" ht="32" customHeight="1">
      <c r="A52" s="87" t="inlineStr">
        <is>
          <t>26/05/26</t>
        </is>
      </c>
      <c r="B52" s="87" t="inlineStr">
        <is>
          <t>Lun</t>
        </is>
      </c>
      <c r="C52" s="87" t="n">
        <v>3</v>
      </c>
      <c r="D52" s="87" t="inlineStr">
        <is>
          <t>🚀 Soir 2</t>
        </is>
      </c>
      <c r="E52" s="88" t="inlineStr">
        <is>
          <t>Réseau CatC</t>
        </is>
      </c>
      <c r="F52" s="89" t="inlineStr">
        <is>
          <t>SD-Access Phase 1 lab EVE-NG — topologie + LISP/BGP</t>
        </is>
      </c>
      <c r="G52" s="90" t="inlineStr">
        <is>
          <t>Fabric de base opérationnelle en lab</t>
        </is>
      </c>
      <c r="H52" s="91" t="inlineStr">
        <is>
          <t>✗</t>
        </is>
      </c>
      <c r="I52" s="87" t="inlineStr">
        <is>
          <t>─</t>
        </is>
      </c>
      <c r="J52" s="87" t="inlineStr">
        <is>
          <t>1h15</t>
        </is>
      </c>
      <c r="K52" s="92" t="n"/>
    </row>
    <row r="53" ht="32" customHeight="1">
      <c r="A53" s="34" t="inlineStr">
        <is>
          <t>27/05/26</t>
        </is>
      </c>
      <c r="B53" s="34" t="inlineStr">
        <is>
          <t>Mar</t>
        </is>
      </c>
      <c r="C53" s="34" t="n">
        <v>3</v>
      </c>
      <c r="D53" s="34" t="inlineStr">
        <is>
          <t>📚 Matin</t>
        </is>
      </c>
      <c r="E53" s="35" t="inlineStr">
        <is>
          <t>Linux</t>
        </is>
      </c>
      <c r="F53" s="36" t="inlineStr">
        <is>
          <t>Docker install + Dockerfile WifiAudit — build + run fonctionnel</t>
        </is>
      </c>
      <c r="G53" s="37" t="inlineStr">
        <is>
          <t>Dockerfile + image Docker WifiAudit</t>
        </is>
      </c>
      <c r="H53" s="38" t="inlineStr">
        <is>
          <t>✗</t>
        </is>
      </c>
      <c r="I53" s="34" t="inlineStr">
        <is>
          <t>─</t>
        </is>
      </c>
      <c r="J53" s="34" t="inlineStr">
        <is>
          <t>1h30</t>
        </is>
      </c>
      <c r="K53" s="39" t="n"/>
    </row>
    <row r="54" ht="32" customHeight="1">
      <c r="A54" s="40" t="inlineStr">
        <is>
          <t>27/05/26</t>
        </is>
      </c>
      <c r="B54" s="40" t="inlineStr">
        <is>
          <t>Mar</t>
        </is>
      </c>
      <c r="C54" s="40" t="n">
        <v>3</v>
      </c>
      <c r="D54" s="40" t="inlineStr">
        <is>
          <t>🔧 Soir 1</t>
        </is>
      </c>
      <c r="E54" s="41" t="inlineStr">
        <is>
          <t>WifiAudit SaaS</t>
        </is>
      </c>
      <c r="F54" s="42" t="inlineStr">
        <is>
          <t>Endpoint /analyze asynchrone — FastAPI BackgroundTasks + job_id</t>
        </is>
      </c>
      <c r="G54" s="43" t="inlineStr">
        <is>
          <t>Pipeline upload→analyze asynchrone OK</t>
        </is>
      </c>
      <c r="H54" s="44" t="inlineStr">
        <is>
          <t>✗</t>
        </is>
      </c>
      <c r="I54" s="40" t="inlineStr">
        <is>
          <t>─</t>
        </is>
      </c>
      <c r="J54" s="40" t="inlineStr">
        <is>
          <t>1h30</t>
        </is>
      </c>
      <c r="K54" s="45" t="n"/>
    </row>
    <row r="55" ht="32" customHeight="1">
      <c r="A55" s="40" t="inlineStr">
        <is>
          <t>27/05/26</t>
        </is>
      </c>
      <c r="B55" s="40" t="inlineStr">
        <is>
          <t>Mar</t>
        </is>
      </c>
      <c r="C55" s="40" t="n">
        <v>3</v>
      </c>
      <c r="D55" s="40" t="inlineStr">
        <is>
          <t>🚀 Soir 2</t>
        </is>
      </c>
      <c r="E55" s="41" t="inlineStr">
        <is>
          <t>WifiAudit SaaS</t>
        </is>
      </c>
      <c r="F55" s="42" t="inlineStr">
        <is>
          <t>Entretien validation #2 — 30-45 min, focus pricing</t>
        </is>
      </c>
      <c r="G55" s="43" t="inlineStr">
        <is>
          <t>Retours documentés</t>
        </is>
      </c>
      <c r="H55" s="44" t="inlineStr">
        <is>
          <t>✗</t>
        </is>
      </c>
      <c r="I55" s="40" t="inlineStr">
        <is>
          <t>─</t>
        </is>
      </c>
      <c r="J55" s="40" t="inlineStr">
        <is>
          <t>1h15</t>
        </is>
      </c>
      <c r="K55" s="45" t="n"/>
    </row>
    <row r="56" ht="32" customHeight="1">
      <c r="A56" s="46" t="inlineStr">
        <is>
          <t>28/05/26</t>
        </is>
      </c>
      <c r="B56" s="46" t="inlineStr">
        <is>
          <t>Mer</t>
        </is>
      </c>
      <c r="C56" s="46" t="n">
        <v>3</v>
      </c>
      <c r="D56" s="46" t="inlineStr">
        <is>
          <t>📚 Matin</t>
        </is>
      </c>
      <c r="E56" s="47" t="inlineStr">
        <is>
          <t>NoCode/n8n</t>
        </is>
      </c>
      <c r="F56" s="48" t="inlineStr">
        <is>
          <t>Webhook WifiAudit n8n — upload→analyze→rapport PDF→email client</t>
        </is>
      </c>
      <c r="G56" s="49" t="inlineStr">
        <is>
          <t>Pipeline entier upload→email automatique</t>
        </is>
      </c>
      <c r="H56" s="50" t="inlineStr">
        <is>
          <t>✗</t>
        </is>
      </c>
      <c r="I56" s="46" t="inlineStr">
        <is>
          <t>─</t>
        </is>
      </c>
      <c r="J56" s="46" t="inlineStr">
        <is>
          <t>1h30</t>
        </is>
      </c>
      <c r="K56" s="51" t="n"/>
    </row>
    <row r="57" ht="32" customHeight="1">
      <c r="A57" s="52" t="inlineStr">
        <is>
          <t>28/05/26</t>
        </is>
      </c>
      <c r="B57" s="52" t="inlineStr">
        <is>
          <t>Mer</t>
        </is>
      </c>
      <c r="C57" s="52" t="n">
        <v>3</v>
      </c>
      <c r="D57" s="52" t="inlineStr">
        <is>
          <t>🔧 Soir 1</t>
        </is>
      </c>
      <c r="E57" s="53" t="inlineStr">
        <is>
          <t>ORNET Business</t>
        </is>
      </c>
      <c r="F57" s="54" t="inlineStr">
        <is>
          <t>Cas client #1 anonymisé PDF — FlexConnect migration résultats</t>
        </is>
      </c>
      <c r="G57" s="55" t="inlineStr">
        <is>
          <t>Document PDF 1 page prêt à partager</t>
        </is>
      </c>
      <c r="H57" s="56" t="inlineStr">
        <is>
          <t>✗</t>
        </is>
      </c>
      <c r="I57" s="52" t="inlineStr">
        <is>
          <t>─</t>
        </is>
      </c>
      <c r="J57" s="52" t="inlineStr">
        <is>
          <t>1h30</t>
        </is>
      </c>
      <c r="K57" s="57" t="n"/>
    </row>
    <row r="58" ht="32" customHeight="1">
      <c r="A58" s="58" t="inlineStr">
        <is>
          <t>29/05/26</t>
        </is>
      </c>
      <c r="B58" s="58" t="inlineStr">
        <is>
          <t>Jeu</t>
        </is>
      </c>
      <c r="C58" s="58" t="n">
        <v>3</v>
      </c>
      <c r="D58" s="58" t="inlineStr">
        <is>
          <t>📚 Matin</t>
        </is>
      </c>
      <c r="E58" s="59" t="inlineStr">
        <is>
          <t>LinkedIn</t>
        </is>
      </c>
      <c r="F58" s="60" t="inlineStr">
        <is>
          <t>Publier post #2 + planning juin (8 posts) + post #3 rédaction</t>
        </is>
      </c>
      <c r="G58" s="61" t="inlineStr">
        <is>
          <t>Post #2 live + planning juin dans Notion</t>
        </is>
      </c>
      <c r="H58" s="62" t="inlineStr">
        <is>
          <t>✗</t>
        </is>
      </c>
      <c r="I58" s="58" t="inlineStr">
        <is>
          <t>─</t>
        </is>
      </c>
      <c r="J58" s="58" t="inlineStr">
        <is>
          <t>1h30</t>
        </is>
      </c>
      <c r="K58" s="63" t="n"/>
    </row>
    <row r="59" ht="32" customHeight="1">
      <c r="A59" s="40" t="inlineStr">
        <is>
          <t>29/05/26</t>
        </is>
      </c>
      <c r="B59" s="40" t="inlineStr">
        <is>
          <t>Jeu</t>
        </is>
      </c>
      <c r="C59" s="40" t="n">
        <v>3</v>
      </c>
      <c r="D59" s="40" t="inlineStr">
        <is>
          <t>🔧 Soir 1</t>
        </is>
      </c>
      <c r="E59" s="41" t="inlineStr">
        <is>
          <t>WifiAudit SaaS</t>
        </is>
      </c>
      <c r="F59" s="42" t="inlineStr">
        <is>
          <t>Endpoint /report/download — GET PDF + API key auth</t>
        </is>
      </c>
      <c r="G59" s="43" t="inlineStr">
        <is>
          <t>Pipeline complet upload→analyze→download</t>
        </is>
      </c>
      <c r="H59" s="44" t="inlineStr">
        <is>
          <t>✗</t>
        </is>
      </c>
      <c r="I59" s="40" t="inlineStr">
        <is>
          <t>─</t>
        </is>
      </c>
      <c r="J59" s="40" t="inlineStr">
        <is>
          <t>1h30</t>
        </is>
      </c>
      <c r="K59" s="45" t="n"/>
    </row>
    <row r="60" ht="32" customHeight="1">
      <c r="A60" s="64" t="inlineStr">
        <is>
          <t>30/05/26</t>
        </is>
      </c>
      <c r="B60" s="64" t="inlineStr">
        <is>
          <t>Ven</t>
        </is>
      </c>
      <c r="C60" s="64" t="n">
        <v>3</v>
      </c>
      <c r="D60" s="64" t="inlineStr">
        <is>
          <t>📚 Matin</t>
        </is>
      </c>
      <c r="E60" s="65" t="inlineStr">
        <is>
          <t>Or-net.com</t>
        </is>
      </c>
      <c r="F60" s="66" t="inlineStr">
        <is>
          <t>Rédaction 3 pages web — Services (500 mots), WifiAudit (600), À propos (300)</t>
        </is>
      </c>
      <c r="G60" s="67" t="inlineStr">
        <is>
          <t>3 pages rédigées prêtes intégration</t>
        </is>
      </c>
      <c r="H60" s="68" t="inlineStr">
        <is>
          <t>✗</t>
        </is>
      </c>
      <c r="I60" s="64" t="inlineStr">
        <is>
          <t>─</t>
        </is>
      </c>
      <c r="J60" s="64" t="inlineStr">
        <is>
          <t>1h30</t>
        </is>
      </c>
      <c r="K60" s="69" t="n"/>
    </row>
    <row r="61" ht="32" customHeight="1">
      <c r="A61" s="40" t="inlineStr">
        <is>
          <t>30/05/26</t>
        </is>
      </c>
      <c r="B61" s="40" t="inlineStr">
        <is>
          <t>Ven</t>
        </is>
      </c>
      <c r="C61" s="40" t="n">
        <v>3</v>
      </c>
      <c r="D61" s="40" t="inlineStr">
        <is>
          <t>🔧 Soir 1</t>
        </is>
      </c>
      <c r="E61" s="41" t="inlineStr">
        <is>
          <t>WifiAudit SaaS</t>
        </is>
      </c>
      <c r="F61" s="42" t="inlineStr">
        <is>
          <t>Docker Compose backend — FastAPI + PostgreSQL + Redis + volumes</t>
        </is>
      </c>
      <c r="G61" s="43" t="inlineStr">
        <is>
          <t>Stack Docker complète démarrée local</t>
        </is>
      </c>
      <c r="H61" s="44" t="inlineStr">
        <is>
          <t>✗</t>
        </is>
      </c>
      <c r="I61" s="40" t="inlineStr">
        <is>
          <t>─</t>
        </is>
      </c>
      <c r="J61" s="40" t="inlineStr">
        <is>
          <t>1h30</t>
        </is>
      </c>
      <c r="K61" s="45" t="n"/>
    </row>
    <row r="62" ht="32" customHeight="1">
      <c r="A62" s="70" t="inlineStr">
        <is>
          <t>31/05/26</t>
        </is>
      </c>
      <c r="B62" s="70" t="inlineStr">
        <is>
          <t>Sam</t>
        </is>
      </c>
      <c r="C62" s="70" t="n">
        <v>3</v>
      </c>
      <c r="D62" s="70" t="inlineStr">
        <is>
          <t>📚 Matin</t>
        </is>
      </c>
      <c r="E62" s="71" t="inlineStr">
        <is>
          <t>Formation</t>
        </is>
      </c>
      <c r="F62" s="72" t="inlineStr">
        <is>
          <t>Session 3 Théo/Alegria — premier livrable concret</t>
        </is>
      </c>
      <c r="G62" s="73" t="inlineStr">
        <is>
          <t>Premier livrable Théo/Alegria</t>
        </is>
      </c>
      <c r="H62" s="74" t="inlineStr">
        <is>
          <t>✗</t>
        </is>
      </c>
      <c r="I62" s="70" t="inlineStr">
        <is>
          <t>─</t>
        </is>
      </c>
      <c r="J62" s="70" t="inlineStr">
        <is>
          <t>1h30</t>
        </is>
      </c>
      <c r="K62" s="75" t="n"/>
    </row>
    <row r="63" ht="20" customHeight="1">
      <c r="A63" s="27" t="inlineStr">
        <is>
          <t>━━━  SEMAINE 4  ━━━</t>
        </is>
      </c>
    </row>
    <row r="64" ht="32" customHeight="1">
      <c r="A64" s="81" t="inlineStr">
        <is>
          <t>02/06/26</t>
        </is>
      </c>
      <c r="B64" s="81" t="inlineStr">
        <is>
          <t>Lun</t>
        </is>
      </c>
      <c r="C64" s="81" t="n">
        <v>4</v>
      </c>
      <c r="D64" s="81" t="inlineStr">
        <is>
          <t>📚 Matin</t>
        </is>
      </c>
      <c r="E64" s="82" t="inlineStr">
        <is>
          <t>IA/ML</t>
        </is>
      </c>
      <c r="F64" s="83" t="inlineStr">
        <is>
          <t>scikit-learn — régression RSSI/distance + classification AP santé</t>
        </is>
      </c>
      <c r="G64" s="84" t="inlineStr">
        <is>
          <t>Modèle ML qualité AP (accuracy &gt; 70%)</t>
        </is>
      </c>
      <c r="H64" s="85" t="inlineStr">
        <is>
          <t>✗</t>
        </is>
      </c>
      <c r="I64" s="81" t="inlineStr">
        <is>
          <t>─</t>
        </is>
      </c>
      <c r="J64" s="81" t="inlineStr">
        <is>
          <t>1h30</t>
        </is>
      </c>
      <c r="K64" s="86" t="n"/>
    </row>
    <row r="65" ht="32" customHeight="1">
      <c r="A65" s="87" t="inlineStr">
        <is>
          <t>02/06/26</t>
        </is>
      </c>
      <c r="B65" s="87" t="inlineStr">
        <is>
          <t>Lun</t>
        </is>
      </c>
      <c r="C65" s="87" t="n">
        <v>4</v>
      </c>
      <c r="D65" s="87" t="inlineStr">
        <is>
          <t>🔧 Soir 1</t>
        </is>
      </c>
      <c r="E65" s="88" t="inlineStr">
        <is>
          <t>Réseau CatC</t>
        </is>
      </c>
      <c r="F65" s="89" t="inlineStr">
        <is>
          <t>CatC AI Analytics API — anomalies détectées + export insights</t>
        </is>
      </c>
      <c r="G65" s="90" t="inlineStr">
        <is>
          <t>catc_ai_anomalies.py fonctionnel</t>
        </is>
      </c>
      <c r="H65" s="91" t="inlineStr">
        <is>
          <t>✗</t>
        </is>
      </c>
      <c r="I65" s="87" t="inlineStr">
        <is>
          <t>─</t>
        </is>
      </c>
      <c r="J65" s="87" t="inlineStr">
        <is>
          <t>1h30</t>
        </is>
      </c>
      <c r="K65" s="92" t="n"/>
    </row>
    <row r="66" ht="32" customHeight="1">
      <c r="A66" s="34" t="inlineStr">
        <is>
          <t>03/06/26</t>
        </is>
      </c>
      <c r="B66" s="34" t="inlineStr">
        <is>
          <t>Mar</t>
        </is>
      </c>
      <c r="C66" s="34" t="n">
        <v>4</v>
      </c>
      <c r="D66" s="34" t="inlineStr">
        <is>
          <t>📚 Matin</t>
        </is>
      </c>
      <c r="E66" s="35" t="inlineStr">
        <is>
          <t>Linux</t>
        </is>
      </c>
      <c r="F66" s="36" t="inlineStr">
        <is>
          <t>nginx + Certbot HTTPS + rate limiting — API WifiAudit en HTTPS</t>
        </is>
      </c>
      <c r="G66" s="37" t="inlineStr">
        <is>
          <t>API WifiAudit accessible HTTPS domaine</t>
        </is>
      </c>
      <c r="H66" s="38" t="inlineStr">
        <is>
          <t>✗</t>
        </is>
      </c>
      <c r="I66" s="34" t="inlineStr">
        <is>
          <t>─</t>
        </is>
      </c>
      <c r="J66" s="34" t="inlineStr">
        <is>
          <t>1h30</t>
        </is>
      </c>
      <c r="K66" s="39" t="n"/>
    </row>
    <row r="67" ht="32" customHeight="1">
      <c r="A67" s="40" t="inlineStr">
        <is>
          <t>03/06/26</t>
        </is>
      </c>
      <c r="B67" s="40" t="inlineStr">
        <is>
          <t>Mar</t>
        </is>
      </c>
      <c r="C67" s="40" t="n">
        <v>4</v>
      </c>
      <c r="D67" s="40" t="inlineStr">
        <is>
          <t>🔧 Soir 1</t>
        </is>
      </c>
      <c r="E67" s="41" t="inlineStr">
        <is>
          <t>WifiAudit SaaS</t>
        </is>
      </c>
      <c r="F67" s="42" t="inlineStr">
        <is>
          <t>Entretien validation #4 — GO/NO-GO MVP interface</t>
        </is>
      </c>
      <c r="G67" s="43" t="inlineStr">
        <is>
          <t>Décision go/no-go MVP interface</t>
        </is>
      </c>
      <c r="H67" s="44" t="inlineStr">
        <is>
          <t>✗</t>
        </is>
      </c>
      <c r="I67" s="40" t="inlineStr">
        <is>
          <t>─</t>
        </is>
      </c>
      <c r="J67" s="40" t="inlineStr">
        <is>
          <t>1h30</t>
        </is>
      </c>
      <c r="K67" s="45" t="n"/>
    </row>
    <row r="68" ht="32" customHeight="1">
      <c r="A68" s="46" t="inlineStr">
        <is>
          <t>04/06/26</t>
        </is>
      </c>
      <c r="B68" s="46" t="inlineStr">
        <is>
          <t>Mer</t>
        </is>
      </c>
      <c r="C68" s="46" t="n">
        <v>4</v>
      </c>
      <c r="D68" s="46" t="inlineStr">
        <is>
          <t>📚 Matin</t>
        </is>
      </c>
      <c r="E68" s="47" t="inlineStr">
        <is>
          <t>NoCode/n8n</t>
        </is>
      </c>
      <c r="F68" s="48" t="inlineStr">
        <is>
          <t>Morning Content Workflow v1.0 — 7 jours stable + archivage Notion</t>
        </is>
      </c>
      <c r="G68" s="49" t="inlineStr">
        <is>
          <t>Morning Content Workflow v1.0 production</t>
        </is>
      </c>
      <c r="H68" s="50" t="inlineStr">
        <is>
          <t>✗</t>
        </is>
      </c>
      <c r="I68" s="46" t="inlineStr">
        <is>
          <t>─</t>
        </is>
      </c>
      <c r="J68" s="46" t="inlineStr">
        <is>
          <t>1h30</t>
        </is>
      </c>
      <c r="K68" s="51" t="n"/>
    </row>
    <row r="69" ht="32" customHeight="1">
      <c r="A69" s="58" t="inlineStr">
        <is>
          <t>05/06/26</t>
        </is>
      </c>
      <c r="B69" s="58" t="inlineStr">
        <is>
          <t>Jeu</t>
        </is>
      </c>
      <c r="C69" s="58" t="n">
        <v>4</v>
      </c>
      <c r="D69" s="58" t="inlineStr">
        <is>
          <t>📚 Matin</t>
        </is>
      </c>
      <c r="E69" s="59" t="inlineStr">
        <is>
          <t>LinkedIn</t>
        </is>
      </c>
      <c r="F69" s="60" t="inlineStr">
        <is>
          <t>Publier post #3 + stats 3 premiers posts + post #4 rédaction</t>
        </is>
      </c>
      <c r="G69" s="61" t="inlineStr">
        <is>
          <t>Post #3 live + format gagnant identifié</t>
        </is>
      </c>
      <c r="H69" s="62" t="inlineStr">
        <is>
          <t>✗</t>
        </is>
      </c>
      <c r="I69" s="58" t="inlineStr">
        <is>
          <t>─</t>
        </is>
      </c>
      <c r="J69" s="58" t="inlineStr">
        <is>
          <t>1h30</t>
        </is>
      </c>
      <c r="K69" s="63" t="n"/>
    </row>
    <row r="70" ht="32" customHeight="1">
      <c r="A70" s="40" t="inlineStr">
        <is>
          <t>05/06/26</t>
        </is>
      </c>
      <c r="B70" s="40" t="inlineStr">
        <is>
          <t>Jeu</t>
        </is>
      </c>
      <c r="C70" s="40" t="n">
        <v>4</v>
      </c>
      <c r="D70" s="40" t="inlineStr">
        <is>
          <t>🔧 Soir 1</t>
        </is>
      </c>
      <c r="E70" s="41" t="inlineStr">
        <is>
          <t>WifiAudit SaaS</t>
        </is>
      </c>
      <c r="F70" s="42" t="inlineStr">
        <is>
          <t>Interface Bubble.io upload — formulaire + connexion API FastAPI</t>
        </is>
      </c>
      <c r="G70" s="43" t="inlineStr">
        <is>
          <t>Interface upload Bubble.io fonctionnelle</t>
        </is>
      </c>
      <c r="H70" s="44" t="inlineStr">
        <is>
          <t>✗</t>
        </is>
      </c>
      <c r="I70" s="40" t="inlineStr">
        <is>
          <t>─</t>
        </is>
      </c>
      <c r="J70" s="40" t="inlineStr">
        <is>
          <t>1h30</t>
        </is>
      </c>
      <c r="K70" s="45" t="n"/>
    </row>
    <row r="71" ht="32" customHeight="1">
      <c r="A71" s="40" t="inlineStr">
        <is>
          <t>05/06/26</t>
        </is>
      </c>
      <c r="B71" s="40" t="inlineStr">
        <is>
          <t>Jeu</t>
        </is>
      </c>
      <c r="C71" s="40" t="n">
        <v>4</v>
      </c>
      <c r="D71" s="40" t="inlineStr">
        <is>
          <t>🚀 Soir 2</t>
        </is>
      </c>
      <c r="E71" s="41" t="inlineStr">
        <is>
          <t>WifiAudit SaaS</t>
        </is>
      </c>
      <c r="F71" s="42" t="inlineStr">
        <is>
          <t>Stripe setup — 3 plans test, checkout pages</t>
        </is>
      </c>
      <c r="G71" s="43" t="inlineStr">
        <is>
          <t>Checkout Stripe fonctionnel (mode test)</t>
        </is>
      </c>
      <c r="H71" s="44" t="inlineStr">
        <is>
          <t>✗</t>
        </is>
      </c>
      <c r="I71" s="40" t="inlineStr">
        <is>
          <t>─</t>
        </is>
      </c>
      <c r="J71" s="40" t="inlineStr">
        <is>
          <t>1h15</t>
        </is>
      </c>
      <c r="K71" s="45" t="n"/>
    </row>
    <row r="72" ht="32" customHeight="1">
      <c r="A72" s="64" t="inlineStr">
        <is>
          <t>06/06/26</t>
        </is>
      </c>
      <c r="B72" s="64" t="inlineStr">
        <is>
          <t>Ven</t>
        </is>
      </c>
      <c r="C72" s="64" t="n">
        <v>4</v>
      </c>
      <c r="D72" s="64" t="inlineStr">
        <is>
          <t>📚 Matin</t>
        </is>
      </c>
      <c r="E72" s="65" t="inlineStr">
        <is>
          <t>Or-net.com</t>
        </is>
      </c>
      <c r="F72" s="66" t="inlineStr">
        <is>
          <t>Intégration pages web + GA4 + Search Console + Lighthouse &gt; 90</t>
        </is>
      </c>
      <c r="G72" s="67" t="inlineStr">
        <is>
          <t>Site refait live avec nouvelles pages</t>
        </is>
      </c>
      <c r="H72" s="68" t="inlineStr">
        <is>
          <t>✗</t>
        </is>
      </c>
      <c r="I72" s="64" t="inlineStr">
        <is>
          <t>─</t>
        </is>
      </c>
      <c r="J72" s="64" t="inlineStr">
        <is>
          <t>1h30</t>
        </is>
      </c>
      <c r="K72" s="69" t="n"/>
    </row>
    <row r="73" ht="32" customHeight="1">
      <c r="A73" s="40" t="inlineStr">
        <is>
          <t>06/06/26</t>
        </is>
      </c>
      <c r="B73" s="40" t="inlineStr">
        <is>
          <t>Ven</t>
        </is>
      </c>
      <c r="C73" s="40" t="n">
        <v>4</v>
      </c>
      <c r="D73" s="40" t="inlineStr">
        <is>
          <t>🔧 Soir 1</t>
        </is>
      </c>
      <c r="E73" s="41" t="inlineStr">
        <is>
          <t>WifiAudit SaaS</t>
        </is>
      </c>
      <c r="F73" s="42" t="inlineStr">
        <is>
          <t>Dashboard résultats Bubble.io — scores RF + graphiques + reco IA</t>
        </is>
      </c>
      <c r="G73" s="43" t="inlineStr">
        <is>
          <t>Dashboard résultats interactif</t>
        </is>
      </c>
      <c r="H73" s="44" t="inlineStr">
        <is>
          <t>✗</t>
        </is>
      </c>
      <c r="I73" s="40" t="inlineStr">
        <is>
          <t>─</t>
        </is>
      </c>
      <c r="J73" s="40" t="inlineStr">
        <is>
          <t>1h30</t>
        </is>
      </c>
      <c r="K73" s="45" t="n"/>
    </row>
    <row r="74" ht="20" customHeight="1">
      <c r="A74" s="27" t="inlineStr">
        <is>
          <t>━━━  SEMAINE 5  ━━━</t>
        </is>
      </c>
    </row>
    <row r="75" ht="32" customHeight="1">
      <c r="A75" s="81" t="inlineStr">
        <is>
          <t>09/06/26</t>
        </is>
      </c>
      <c r="B75" s="81" t="inlineStr">
        <is>
          <t>Lun</t>
        </is>
      </c>
      <c r="C75" s="81" t="n">
        <v>5</v>
      </c>
      <c r="D75" s="81" t="inlineStr">
        <is>
          <t>📚 Matin</t>
        </is>
      </c>
      <c r="E75" s="82" t="inlineStr">
        <is>
          <t>IA/ML</t>
        </is>
      </c>
      <c r="F75" s="83" t="inlineStr">
        <is>
          <t>LangChain — chain analyse rapport WiFi + output parser JSON</t>
        </is>
      </c>
      <c r="G75" s="84" t="inlineStr">
        <is>
          <t>Chain LangChain intégré dans WifiAudit</t>
        </is>
      </c>
      <c r="H75" s="85" t="inlineStr">
        <is>
          <t>✗</t>
        </is>
      </c>
      <c r="I75" s="81" t="inlineStr">
        <is>
          <t>─</t>
        </is>
      </c>
      <c r="J75" s="81" t="inlineStr">
        <is>
          <t>1h30</t>
        </is>
      </c>
      <c r="K75" s="86" t="n"/>
    </row>
    <row r="76" ht="32" customHeight="1">
      <c r="A76" s="87" t="inlineStr">
        <is>
          <t>09/06/26</t>
        </is>
      </c>
      <c r="B76" s="87" t="inlineStr">
        <is>
          <t>Lun</t>
        </is>
      </c>
      <c r="C76" s="87" t="n">
        <v>5</v>
      </c>
      <c r="D76" s="87" t="inlineStr">
        <is>
          <t>🔧 Soir 1</t>
        </is>
      </c>
      <c r="E76" s="88" t="inlineStr">
        <is>
          <t>Réseau CatC</t>
        </is>
      </c>
      <c r="F76" s="89" t="inlineStr">
        <is>
          <t>CatC Template Editor — template config + déploiement device test</t>
        </is>
      </c>
      <c r="G76" s="90" t="inlineStr">
        <is>
          <t>Template déployé via CatC</t>
        </is>
      </c>
      <c r="H76" s="91" t="inlineStr">
        <is>
          <t>✗</t>
        </is>
      </c>
      <c r="I76" s="87" t="inlineStr">
        <is>
          <t>─</t>
        </is>
      </c>
      <c r="J76" s="87" t="inlineStr">
        <is>
          <t>1h30</t>
        </is>
      </c>
      <c r="K76" s="92" t="n"/>
    </row>
    <row r="77" ht="32" customHeight="1">
      <c r="A77" s="34" t="inlineStr">
        <is>
          <t>10/06/26</t>
        </is>
      </c>
      <c r="B77" s="34" t="inlineStr">
        <is>
          <t>Mar</t>
        </is>
      </c>
      <c r="C77" s="34" t="n">
        <v>5</v>
      </c>
      <c r="D77" s="34" t="inlineStr">
        <is>
          <t>📚 Matin</t>
        </is>
      </c>
      <c r="E77" s="35" t="inlineStr">
        <is>
          <t>Linux</t>
        </is>
      </c>
      <c r="F77" s="36" t="inlineStr">
        <is>
          <t>Docker Compose production — multi-containers + health checks VPS</t>
        </is>
      </c>
      <c r="G77" s="37" t="inlineStr">
        <is>
          <t>Stack WifiAudit complète en production VPS</t>
        </is>
      </c>
      <c r="H77" s="38" t="inlineStr">
        <is>
          <t>✗</t>
        </is>
      </c>
      <c r="I77" s="34" t="inlineStr">
        <is>
          <t>─</t>
        </is>
      </c>
      <c r="J77" s="34" t="inlineStr">
        <is>
          <t>1h30</t>
        </is>
      </c>
      <c r="K77" s="39" t="n"/>
    </row>
    <row r="78" ht="32" customHeight="1">
      <c r="A78" s="40" t="inlineStr">
        <is>
          <t>10/06/26</t>
        </is>
      </c>
      <c r="B78" s="40" t="inlineStr">
        <is>
          <t>Mar</t>
        </is>
      </c>
      <c r="C78" s="40" t="n">
        <v>5</v>
      </c>
      <c r="D78" s="40" t="inlineStr">
        <is>
          <t>🔧 Soir 1</t>
        </is>
      </c>
      <c r="E78" s="41" t="inlineStr">
        <is>
          <t>WifiAudit SaaS</t>
        </is>
      </c>
      <c r="F78" s="42" t="inlineStr">
        <is>
          <t>5 premiers beta users — onboarding + formulaire retours 5 questions</t>
        </is>
      </c>
      <c r="G78" s="43" t="inlineStr">
        <is>
          <t>5 beta users actifs avec retours</t>
        </is>
      </c>
      <c r="H78" s="44" t="inlineStr">
        <is>
          <t>✗</t>
        </is>
      </c>
      <c r="I78" s="40" t="inlineStr">
        <is>
          <t>─</t>
        </is>
      </c>
      <c r="J78" s="40" t="inlineStr">
        <is>
          <t>1h30</t>
        </is>
      </c>
      <c r="K78" s="45" t="n"/>
    </row>
    <row r="79" ht="32" customHeight="1">
      <c r="A79" s="64" t="inlineStr">
        <is>
          <t>13/06/26</t>
        </is>
      </c>
      <c r="B79" s="64" t="inlineStr">
        <is>
          <t>Ven</t>
        </is>
      </c>
      <c r="C79" s="64" t="n">
        <v>5</v>
      </c>
      <c r="D79" s="64" t="inlineStr">
        <is>
          <t>📚 Matin</t>
        </is>
      </c>
      <c r="E79" s="65" t="inlineStr">
        <is>
          <t>Or-net.com</t>
        </is>
      </c>
      <c r="F79" s="66" t="inlineStr">
        <is>
          <t>SEO technique — Screaming Frog + 10 corrections + schema.org</t>
        </is>
      </c>
      <c r="G79" s="67" t="inlineStr">
        <is>
          <t>Score SEO amélioré Lighthouse &gt; 90</t>
        </is>
      </c>
      <c r="H79" s="68" t="inlineStr">
        <is>
          <t>✗</t>
        </is>
      </c>
      <c r="I79" s="64" t="inlineStr">
        <is>
          <t>─</t>
        </is>
      </c>
      <c r="J79" s="64" t="inlineStr">
        <is>
          <t>1h30</t>
        </is>
      </c>
      <c r="K79" s="69" t="n"/>
    </row>
    <row r="80" ht="32" customHeight="1">
      <c r="A80" s="40" t="inlineStr">
        <is>
          <t>13/06/26</t>
        </is>
      </c>
      <c r="B80" s="40" t="inlineStr">
        <is>
          <t>Ven</t>
        </is>
      </c>
      <c r="C80" s="40" t="n">
        <v>5</v>
      </c>
      <c r="D80" s="40" t="inlineStr">
        <is>
          <t>🔧 Soir 1</t>
        </is>
      </c>
      <c r="E80" s="41" t="inlineStr">
        <is>
          <t>WifiAudit SaaS</t>
        </is>
      </c>
      <c r="F80" s="42" t="inlineStr">
        <is>
          <t>PREMIER CLIENT PAYANT 299€/mois — démo → checkout → onboarding</t>
        </is>
      </c>
      <c r="G80" s="43" t="inlineStr">
        <is>
          <t>🎯 PREMIER REVENU WIFIAUDIT</t>
        </is>
      </c>
      <c r="H80" s="44" t="inlineStr">
        <is>
          <t>✗</t>
        </is>
      </c>
      <c r="I80" s="40" t="inlineStr">
        <is>
          <t>─</t>
        </is>
      </c>
      <c r="J80" s="40" t="inlineStr">
        <is>
          <t>1h30</t>
        </is>
      </c>
      <c r="K80" s="45" t="n"/>
    </row>
    <row r="81" ht="20" customHeight="1">
      <c r="A81" s="27" t="inlineStr">
        <is>
          <t>━━━  SEMAINE 6  ━━━</t>
        </is>
      </c>
    </row>
    <row r="82">
      <c r="A82" s="81" t="inlineStr">
        <is>
          <t>16/06/26</t>
        </is>
      </c>
      <c r="B82" s="81" t="inlineStr">
        <is>
          <t>Lun</t>
        </is>
      </c>
      <c r="C82" s="81" t="n">
        <v>6</v>
      </c>
      <c r="D82" s="81" t="inlineStr">
        <is>
          <t>📚 Matin</t>
        </is>
      </c>
      <c r="E82" s="82" t="inlineStr">
        <is>
          <t>IA/ML</t>
        </is>
      </c>
      <c r="F82" s="83" t="inlineStr">
        <is>
          <t>LangChain RAG — ChromaDB + embeddings + retrieval chain sur rapports</t>
        </is>
      </c>
      <c r="G82" s="84" t="inlineStr">
        <is>
          <t>RAG WifiAudit historiques fonctionnel</t>
        </is>
      </c>
      <c r="H82" s="85" t="inlineStr">
        <is>
          <t>✗</t>
        </is>
      </c>
      <c r="I82" s="81" t="inlineStr">
        <is>
          <t>─</t>
        </is>
      </c>
      <c r="J82" s="81" t="inlineStr">
        <is>
          <t>1h30</t>
        </is>
      </c>
      <c r="K82" s="86" t="n"/>
    </row>
    <row r="83">
      <c r="A83" s="34" t="inlineStr">
        <is>
          <t>17/06/26</t>
        </is>
      </c>
      <c r="B83" s="34" t="inlineStr">
        <is>
          <t>Mar</t>
        </is>
      </c>
      <c r="C83" s="34" t="n">
        <v>6</v>
      </c>
      <c r="D83" s="34" t="inlineStr">
        <is>
          <t>📚 Matin</t>
        </is>
      </c>
      <c r="E83" s="35" t="inlineStr">
        <is>
          <t>Linux</t>
        </is>
      </c>
      <c r="F83" s="36" t="inlineStr">
        <is>
          <t>Ansible intro — playbook setup_vps.yml + déploiement WifiAudit auto</t>
        </is>
      </c>
      <c r="G83" s="37" t="inlineStr">
        <is>
          <t>Déploiement WifiAudit automatisé Ansible</t>
        </is>
      </c>
      <c r="H83" s="38" t="inlineStr">
        <is>
          <t>✗</t>
        </is>
      </c>
      <c r="I83" s="34" t="inlineStr">
        <is>
          <t>─</t>
        </is>
      </c>
      <c r="J83" s="34" t="inlineStr">
        <is>
          <t>1h30</t>
        </is>
      </c>
      <c r="K83" s="39" t="n"/>
    </row>
    <row r="84">
      <c r="A84" s="40" t="inlineStr">
        <is>
          <t>17/06/26</t>
        </is>
      </c>
      <c r="B84" s="40" t="inlineStr">
        <is>
          <t>Mar</t>
        </is>
      </c>
      <c r="C84" s="40" t="n">
        <v>6</v>
      </c>
      <c r="D84" s="40" t="inlineStr">
        <is>
          <t>🔧 Soir 1</t>
        </is>
      </c>
      <c r="E84" s="41" t="inlineStr">
        <is>
          <t>WifiAudit SaaS</t>
        </is>
      </c>
      <c r="F84" s="42" t="inlineStr">
        <is>
          <t>3 clients payants — convertir 2 beta users Starter</t>
        </is>
      </c>
      <c r="G84" s="43" t="inlineStr">
        <is>
          <t>3 clients WifiAudit payants ✅</t>
        </is>
      </c>
      <c r="H84" s="44" t="inlineStr">
        <is>
          <t>✗</t>
        </is>
      </c>
      <c r="I84" s="40" t="inlineStr">
        <is>
          <t>─</t>
        </is>
      </c>
      <c r="J84" s="40" t="inlineStr">
        <is>
          <t>1h30</t>
        </is>
      </c>
      <c r="K84" s="45" t="n"/>
    </row>
    <row r="85">
      <c r="A85" s="64" t="inlineStr">
        <is>
          <t>20/06/26</t>
        </is>
      </c>
      <c r="B85" s="64" t="inlineStr">
        <is>
          <t>Ven</t>
        </is>
      </c>
      <c r="C85" s="64" t="n">
        <v>6</v>
      </c>
      <c r="D85" s="64" t="inlineStr">
        <is>
          <t>📚 Matin</t>
        </is>
      </c>
      <c r="E85" s="65" t="inlineStr">
        <is>
          <t>Or-net.com</t>
        </is>
      </c>
      <c r="F85" s="66" t="inlineStr">
        <is>
          <t>Article blog #1 — Automatiser rapports audit réseau (800 mots + SEO)</t>
        </is>
      </c>
      <c r="G85" s="67" t="inlineStr">
        <is>
          <t>Article #1 live sur or-net.com</t>
        </is>
      </c>
      <c r="H85" s="68" t="inlineStr">
        <is>
          <t>✗</t>
        </is>
      </c>
      <c r="I85" s="64" t="inlineStr">
        <is>
          <t>─</t>
        </is>
      </c>
      <c r="J85" s="64" t="inlineStr">
        <is>
          <t>1h30</t>
        </is>
      </c>
      <c r="K85" s="69" t="n"/>
    </row>
    <row r="86">
      <c r="A86" s="28" t="inlineStr">
        <is>
          <t>22/06/26</t>
        </is>
      </c>
      <c r="B86" s="28" t="inlineStr">
        <is>
          <t>Dim</t>
        </is>
      </c>
      <c r="C86" s="28" t="n">
        <v>6</v>
      </c>
      <c r="D86" s="28" t="inlineStr">
        <is>
          <t>─</t>
        </is>
      </c>
      <c r="E86" s="29" t="inlineStr">
        <is>
          <t>─</t>
        </is>
      </c>
      <c r="F86" s="30" t="inlineStr">
        <is>
          <t>BILAN MI-PARCOURS 6 SEMAINES — score global, WifiAudit, LinkedIn</t>
        </is>
      </c>
      <c r="G86" s="31" t="inlineStr">
        <is>
          <t>Scorecard complet dans Notion</t>
        </is>
      </c>
      <c r="H86" s="32" t="inlineStr">
        <is>
          <t>✗</t>
        </is>
      </c>
      <c r="I86" s="28" t="inlineStr">
        <is>
          <t>─</t>
        </is>
      </c>
      <c r="J86" s="28" t="inlineStr">
        <is>
          <t>1h15</t>
        </is>
      </c>
      <c r="K86" s="33" t="n"/>
    </row>
  </sheetData>
  <mergeCells count="7">
    <mergeCell ref="A74:K74"/>
    <mergeCell ref="A3:K3"/>
    <mergeCell ref="A25:K25"/>
    <mergeCell ref="A81:K81"/>
    <mergeCell ref="A49:K49"/>
    <mergeCell ref="A63:K63"/>
    <mergeCell ref="A1:K1"/>
  </mergeCells>
  <conditionalFormatting sqref="A3:K80">
    <cfRule type="expression" priority="1" dxfId="0">
      <formula>$H3="✓"</formula>
    </cfRule>
    <cfRule type="expression" priority="2" dxfId="1">
      <formula>$H3="⏳"</formula>
    </cfRule>
  </conditionalFormatting>
  <dataValidations count="2">
    <dataValidation sqref="H3:H600" showDropDown="0" showInputMessage="0" showErrorMessage="0" allowBlank="1" errorTitle="Valeur invalide" error="Utilisez ✓, ✗ ou ⏳" prompt="✓ = Fait · ✗ = Non fait · ⏳ = En cours" type="list">
      <formula1>"✓,✗,⏳"</formula1>
    </dataValidation>
    <dataValidation sqref="I3:I600" showDropDown="0" showInputMessage="0" showErrorMessage="0" allowBlank="1" type="list">
      <formula1>"5,4,3,2,1,0"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35" customWidth="1" min="4" max="4"/>
    <col width="40" customWidth="1" min="5" max="5"/>
    <col width="11" customWidth="1" min="6" max="6"/>
    <col width="11" customWidth="1" min="7" max="7"/>
    <col width="9" customWidth="1" min="8" max="8"/>
    <col width="9" customWidth="1" min="9" max="9"/>
    <col width="7" customWidth="1" min="10" max="10"/>
    <col width="35" customWidth="1" min="11" max="11"/>
    <col width="35" customWidth="1" min="12" max="12"/>
  </cols>
  <sheetData>
    <row r="1" ht="30" customHeight="1">
      <c r="A1" s="25" t="inlineStr">
        <is>
          <t>📊  OBJECTIFS &amp; BILANS SEMAINES  ·  À remplir chaque dimanche soir</t>
        </is>
      </c>
    </row>
    <row r="2" ht="22" customHeight="1">
      <c r="A2" s="26" t="inlineStr">
        <is>
          <t>S#</t>
        </is>
      </c>
      <c r="B2" s="26" t="inlineStr">
        <is>
          <t>Semaine</t>
        </is>
      </c>
      <c r="C2" s="26" t="inlineStr">
        <is>
          <t>Dates</t>
        </is>
      </c>
      <c r="D2" s="26" t="inlineStr">
        <is>
          <t>Objectif principal</t>
        </is>
      </c>
      <c r="E2" s="26" t="inlineStr">
        <is>
          <t>Livrables clés (top 4)</t>
        </is>
      </c>
      <c r="F2" s="26" t="inlineStr">
        <is>
          <t>T. Réalisées</t>
        </is>
      </c>
      <c r="G2" s="26" t="inlineStr">
        <is>
          <t>T. Totales</t>
        </is>
      </c>
      <c r="H2" s="26" t="inlineStr">
        <is>
          <t>% Taux</t>
        </is>
      </c>
      <c r="I2" s="26" t="inlineStr">
        <is>
          <t>Score /10</t>
        </is>
      </c>
      <c r="J2" s="26" t="inlineStr">
        <is>
          <t>✅ OK</t>
        </is>
      </c>
      <c r="K2" s="26" t="inlineStr">
        <is>
          <t>Top 3 apprentissages</t>
        </is>
      </c>
      <c r="L2" s="26" t="inlineStr">
        <is>
          <t>Blocages + Actions</t>
        </is>
      </c>
    </row>
    <row r="3" ht="40" customHeight="1">
      <c r="A3" s="93" t="inlineStr">
        <is>
          <t>1</t>
        </is>
      </c>
      <c r="B3" s="94" t="inlineStr">
        <is>
          <t>S1 — 12 au 18 mai</t>
        </is>
      </c>
      <c r="C3" s="95" t="inlineStr">
        <is>
          <t>12-18 mai</t>
        </is>
      </c>
      <c r="D3" s="96" t="inlineStr">
        <is>
          <t>Setup HomeLab · Python bases · Morning Agent v0.1</t>
        </is>
      </c>
      <c r="E3" s="97" t="inlineStr">
        <is>
          <t>setup_homelab.sh · 01_python_bases.ipynb · Morning Agent v0.1 · Archi WifiAudit</t>
        </is>
      </c>
      <c r="F3" s="98" t="n">
        <v>0</v>
      </c>
      <c r="G3" s="95" t="n">
        <v>21</v>
      </c>
      <c r="H3" s="99">
        <f>IFERROR(ROUND(F3/G3*100,0)&amp;"%","─")</f>
        <v/>
      </c>
      <c r="I3" s="99" t="inlineStr"/>
      <c r="J3" s="100" t="inlineStr">
        <is>
          <t>☐</t>
        </is>
      </c>
      <c r="K3" s="101" t="n"/>
      <c r="L3" s="101" t="n"/>
    </row>
    <row r="4" ht="40" customHeight="1">
      <c r="A4" s="102" t="inlineStr">
        <is>
          <t>2</t>
        </is>
      </c>
      <c r="B4" s="103" t="inlineStr">
        <is>
          <t>S2 — 19 au 25 mai</t>
        </is>
      </c>
      <c r="C4" s="18" t="inlineStr">
        <is>
          <t>19-25 mai</t>
        </is>
      </c>
      <c r="D4" s="17" t="inlineStr">
        <is>
          <t>NumPy/Pandas · SSH · CatC API · Scoring RF · Post LI #1</t>
        </is>
      </c>
      <c r="E4" s="104" t="inlineStr">
        <is>
          <t>catc_test.py · score_rf_metrics() · Post LinkedIn #1 · Entretien #1</t>
        </is>
      </c>
      <c r="F4" s="105" t="n">
        <v>0</v>
      </c>
      <c r="G4" s="18" t="n">
        <v>21</v>
      </c>
      <c r="H4" s="106">
        <f>IFERROR(ROUND(F4/G4*100,0)&amp;"%","─")</f>
        <v/>
      </c>
      <c r="I4" s="106" t="inlineStr"/>
      <c r="J4" s="107" t="inlineStr">
        <is>
          <t>☐</t>
        </is>
      </c>
      <c r="K4" s="108" t="n"/>
      <c r="L4" s="108" t="n"/>
    </row>
    <row r="5" ht="40" customHeight="1">
      <c r="A5" s="93" t="inlineStr">
        <is>
          <t>3</t>
        </is>
      </c>
      <c r="B5" s="94" t="inlineStr">
        <is>
          <t>S3 — 26 mai-1 juin</t>
        </is>
      </c>
      <c r="C5" s="95" t="inlineStr">
        <is>
          <t>26 mai-1 juin</t>
        </is>
      </c>
      <c r="D5" s="96" t="inlineStr">
        <is>
          <t>LangChain · Docker · n8n webhooks · Rapport PDF</t>
        </is>
      </c>
      <c r="E5" s="97" t="inlineStr">
        <is>
          <t>catc_full_inventory.py · Dockerfile · endpoint /analyze · 3 pages or-net</t>
        </is>
      </c>
      <c r="F5" s="98" t="n">
        <v>0</v>
      </c>
      <c r="G5" s="95" t="n">
        <v>21</v>
      </c>
      <c r="H5" s="99">
        <f>IFERROR(ROUND(F5/G5*100,0)&amp;"%","─")</f>
        <v/>
      </c>
      <c r="I5" s="99" t="inlineStr"/>
      <c r="J5" s="100" t="inlineStr">
        <is>
          <t>☐</t>
        </is>
      </c>
      <c r="K5" s="101" t="n"/>
      <c r="L5" s="101" t="n"/>
    </row>
    <row r="6" ht="40" customHeight="1">
      <c r="A6" s="102" t="inlineStr">
        <is>
          <t>4</t>
        </is>
      </c>
      <c r="B6" s="103" t="inlineStr">
        <is>
          <t>S4 — 2 au 8 juin</t>
        </is>
      </c>
      <c r="C6" s="18" t="inlineStr">
        <is>
          <t>2-8 juin</t>
        </is>
      </c>
      <c r="D6" s="17" t="inlineStr">
        <is>
          <t>scikit-learn · nginx HTTPS · Bubble.io · Or-net.com live</t>
        </is>
      </c>
      <c r="E6" s="104" t="inlineStr">
        <is>
          <t>Modèle ML &gt;70% · API HTTPS · Interface upload · Or-net.com refonte live</t>
        </is>
      </c>
      <c r="F6" s="105" t="n">
        <v>0</v>
      </c>
      <c r="G6" s="18" t="n">
        <v>21</v>
      </c>
      <c r="H6" s="106">
        <f>IFERROR(ROUND(F6/G6*100,0)&amp;"%","─")</f>
        <v/>
      </c>
      <c r="I6" s="106" t="inlineStr"/>
      <c r="J6" s="107" t="inlineStr">
        <is>
          <t>☐</t>
        </is>
      </c>
      <c r="K6" s="108" t="n"/>
      <c r="L6" s="108" t="n"/>
    </row>
    <row r="7" ht="40" customHeight="1">
      <c r="A7" s="93" t="inlineStr">
        <is>
          <t>5</t>
        </is>
      </c>
      <c r="B7" s="94" t="inlineStr">
        <is>
          <t>S5 — 9 au 15 juin</t>
        </is>
      </c>
      <c r="C7" s="95" t="inlineStr">
        <is>
          <t>9-15 juin</t>
        </is>
      </c>
      <c r="D7" s="96" t="inlineStr">
        <is>
          <t>LangChain RAG · Docker prod · 5 beta · PREMIER CLIENT</t>
        </is>
      </c>
      <c r="E7" s="97" t="inlineStr">
        <is>
          <t>RAG WifiAudit · Stack prod VPS · 5 beta users · Stripe · Premier revenu 🎯</t>
        </is>
      </c>
      <c r="F7" s="98" t="n">
        <v>0</v>
      </c>
      <c r="G7" s="95" t="n">
        <v>21</v>
      </c>
      <c r="H7" s="99">
        <f>IFERROR(ROUND(F7/G7*100,0)&amp;"%","─")</f>
        <v/>
      </c>
      <c r="I7" s="99" t="inlineStr"/>
      <c r="J7" s="100" t="inlineStr">
        <is>
          <t>☐</t>
        </is>
      </c>
      <c r="K7" s="101" t="n"/>
      <c r="L7" s="101" t="n"/>
    </row>
    <row r="8" ht="40" customHeight="1">
      <c r="A8" s="102" t="inlineStr">
        <is>
          <t>6</t>
        </is>
      </c>
      <c r="B8" s="103" t="inlineStr">
        <is>
          <t>S6 — 16 au 22 juin</t>
        </is>
      </c>
      <c r="C8" s="18" t="inlineStr">
        <is>
          <t>16-22 juin</t>
        </is>
      </c>
      <c r="D8" s="17" t="inlineStr">
        <is>
          <t>Ansible · 3 clients · API partenaires · Blog #1</t>
        </is>
      </c>
      <c r="E8" s="104" t="inlineStr">
        <is>
          <t>Ansible deploy.yml · 3 clients payants · API partenaires v0.1 · Article blog live</t>
        </is>
      </c>
      <c r="F8" s="105" t="n">
        <v>0</v>
      </c>
      <c r="G8" s="18" t="n">
        <v>21</v>
      </c>
      <c r="H8" s="106">
        <f>IFERROR(ROUND(F8/G8*100,0)&amp;"%","─")</f>
        <v/>
      </c>
      <c r="I8" s="106" t="inlineStr"/>
      <c r="J8" s="107" t="inlineStr">
        <is>
          <t>☐</t>
        </is>
      </c>
      <c r="K8" s="108" t="n"/>
      <c r="L8" s="108" t="n"/>
    </row>
    <row r="9" ht="40" customHeight="1">
      <c r="A9" s="93" t="inlineStr">
        <is>
          <t>7-10</t>
        </is>
      </c>
      <c r="B9" s="94" t="inlineStr">
        <is>
          <t>S7-10 — Juillet</t>
        </is>
      </c>
      <c r="C9" s="95" t="inlineStr">
        <is>
          <t>23 juin-20 juil</t>
        </is>
      </c>
      <c r="D9" s="96" t="inlineStr">
        <is>
          <t>Agents IA WiFi · 8 clients · Interface web beta</t>
        </is>
      </c>
      <c r="E9" s="97" t="inlineStr">
        <is>
          <t>Agent IA WiFi v0.1 · Interface web beta · 8 clients · Partenariat</t>
        </is>
      </c>
      <c r="F9" s="98" t="n">
        <v>0</v>
      </c>
      <c r="G9" s="95" t="n">
        <v>40</v>
      </c>
      <c r="H9" s="99">
        <f>IFERROR(ROUND(F9/G9*100,0)&amp;"%","─")</f>
        <v/>
      </c>
      <c r="I9" s="99" t="inlineStr"/>
      <c r="J9" s="100" t="inlineStr">
        <is>
          <t>☐</t>
        </is>
      </c>
      <c r="K9" s="101" t="n"/>
      <c r="L9" s="101" t="n"/>
    </row>
    <row r="10" ht="40" customHeight="1">
      <c r="A10" s="102" t="inlineStr">
        <is>
          <t>11-14</t>
        </is>
      </c>
      <c r="B10" s="103" t="inlineStr">
        <is>
          <t>S11-14 — Août</t>
        </is>
      </c>
      <c r="C10" s="18" t="inlineStr">
        <is>
          <t>21 juil-23 août</t>
        </is>
      </c>
      <c r="D10" s="17" t="inlineStr">
        <is>
          <t>LLM RF · 10 clients · Vacances</t>
        </is>
      </c>
      <c r="E10" s="104" t="inlineStr">
        <is>
          <t>Modèle ML anomalie RF · Multi-tenants · 10 clients · Repos</t>
        </is>
      </c>
      <c r="F10" s="105" t="n">
        <v>0</v>
      </c>
      <c r="G10" s="18" t="n">
        <v>30</v>
      </c>
      <c r="H10" s="106">
        <f>IFERROR(ROUND(F10/G10*100,0)&amp;"%","─")</f>
        <v/>
      </c>
      <c r="I10" s="106" t="inlineStr"/>
      <c r="J10" s="107" t="inlineStr">
        <is>
          <t>☐</t>
        </is>
      </c>
      <c r="K10" s="108" t="n"/>
      <c r="L10" s="108" t="n"/>
    </row>
    <row r="11" ht="40" customHeight="1">
      <c r="A11" s="93" t="inlineStr">
        <is>
          <t>15-18</t>
        </is>
      </c>
      <c r="B11" s="94" t="inlineStr">
        <is>
          <t>S15-18 — Sept</t>
        </is>
      </c>
      <c r="C11" s="95" t="inlineStr">
        <is>
          <t>25 août-27 sept</t>
        </is>
      </c>
      <c r="D11" s="96" t="inlineStr">
        <is>
          <t>MLOps · 12 clients · Bilan Q3</t>
        </is>
      </c>
      <c r="E11" s="97" t="inlineStr">
        <is>
          <t>MLflow tracking · API sécurisée · 12 clients · Plan Q4 validé</t>
        </is>
      </c>
      <c r="F11" s="98" t="n">
        <v>0</v>
      </c>
      <c r="G11" s="95" t="n">
        <v>30</v>
      </c>
      <c r="H11" s="99">
        <f>IFERROR(ROUND(F11/G11*100,0)&amp;"%","─")</f>
        <v/>
      </c>
      <c r="I11" s="99" t="inlineStr"/>
      <c r="J11" s="100" t="inlineStr">
        <is>
          <t>☐</t>
        </is>
      </c>
      <c r="K11" s="101" t="n"/>
      <c r="L11" s="101" t="n"/>
    </row>
    <row r="12" ht="40" customHeight="1">
      <c r="A12" s="102" t="inlineStr">
        <is>
          <t>19-22</t>
        </is>
      </c>
      <c r="B12" s="103" t="inlineStr">
        <is>
          <t>S19-22 — Oct</t>
        </is>
      </c>
      <c r="C12" s="18" t="inlineStr">
        <is>
          <t>28 sept-25 oct</t>
        </is>
      </c>
      <c r="D12" s="17" t="inlineStr">
        <is>
          <t>WifiAudit v2 · MLOps prod · 13 clients</t>
        </is>
      </c>
      <c r="E12" s="104" t="inlineStr">
        <is>
          <t>WifiAudit v2.0 · ML avancé trames · 13 clients · Monitoring prod</t>
        </is>
      </c>
      <c r="F12" s="105" t="n">
        <v>0</v>
      </c>
      <c r="G12" s="18" t="n">
        <v>28</v>
      </c>
      <c r="H12" s="106">
        <f>IFERROR(ROUND(F12/G12*100,0)&amp;"%","─")</f>
        <v/>
      </c>
      <c r="I12" s="106" t="inlineStr"/>
      <c r="J12" s="107" t="inlineStr">
        <is>
          <t>☐</t>
        </is>
      </c>
      <c r="K12" s="108" t="n"/>
      <c r="L12" s="108" t="n"/>
    </row>
    <row r="13" ht="40" customHeight="1">
      <c r="A13" s="93" t="inlineStr">
        <is>
          <t>23-26</t>
        </is>
      </c>
      <c r="B13" s="94" t="inlineStr">
        <is>
          <t>S23-26 — Nov</t>
        </is>
      </c>
      <c r="C13" s="95" t="inlineStr">
        <is>
          <t>26 oct-22 nov</t>
        </is>
      </c>
      <c r="D13" s="96" t="inlineStr">
        <is>
          <t>15 clients 🎯 · Plan 2027 · Webinar LI</t>
        </is>
      </c>
      <c r="E13" s="97" t="inlineStr">
        <is>
          <t>15 clients WifiAudit ✅ · Plan 2027 rédigé · Webinar · API partenaires v1.0</t>
        </is>
      </c>
      <c r="F13" s="98" t="n">
        <v>0</v>
      </c>
      <c r="G13" s="95" t="n">
        <v>28</v>
      </c>
      <c r="H13" s="99">
        <f>IFERROR(ROUND(F13/G13*100,0)&amp;"%","─")</f>
        <v/>
      </c>
      <c r="I13" s="99" t="inlineStr"/>
      <c r="J13" s="100" t="inlineStr">
        <is>
          <t>☐</t>
        </is>
      </c>
      <c r="K13" s="101" t="n"/>
      <c r="L13" s="101" t="n"/>
    </row>
    <row r="14" ht="40" customHeight="1">
      <c r="A14" s="102" t="inlineStr">
        <is>
          <t>27-31</t>
        </is>
      </c>
      <c r="B14" s="103" t="inlineStr">
        <is>
          <t>S27-31 — Déc</t>
        </is>
      </c>
      <c r="C14" s="18" t="inlineStr">
        <is>
          <t>23 nov-31 déc</t>
        </is>
      </c>
      <c r="D14" s="17" t="inlineStr">
        <is>
          <t>Bilan annuel · Offres 2027 · Repos ⛄</t>
        </is>
      </c>
      <c r="E14" s="104" t="inlineStr">
        <is>
          <t>Bilan complet · Post LinkedIn 2026 · Catalogue 2027 · Plan formation 2027</t>
        </is>
      </c>
      <c r="F14" s="105" t="n">
        <v>0</v>
      </c>
      <c r="G14" s="18" t="n">
        <v>20</v>
      </c>
      <c r="H14" s="106">
        <f>IFERROR(ROUND(F14/G14*100,0)&amp;"%","─")</f>
        <v/>
      </c>
      <c r="I14" s="106" t="inlineStr"/>
      <c r="J14" s="107" t="inlineStr">
        <is>
          <t>☐</t>
        </is>
      </c>
      <c r="K14" s="108" t="n"/>
      <c r="L14" s="108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</cols>
  <sheetData>
    <row r="1" ht="30" customHeight="1">
      <c r="A1" s="21" t="inlineStr">
        <is>
          <t>📈  KPIs BUSINESS MENSUELS — WifiAudit AI &amp; ORNET</t>
        </is>
      </c>
    </row>
    <row r="2" ht="22" customHeight="1">
      <c r="A2" s="26" t="inlineStr">
        <is>
          <t>KPI / Indicateur</t>
        </is>
      </c>
      <c r="B2" s="26" t="inlineStr">
        <is>
          <t>Objectif</t>
        </is>
      </c>
      <c r="C2" s="26" t="inlineStr">
        <is>
          <t>Mai</t>
        </is>
      </c>
      <c r="D2" s="26" t="inlineStr">
        <is>
          <t>Juin</t>
        </is>
      </c>
      <c r="E2" s="26" t="inlineStr">
        <is>
          <t>Juil</t>
        </is>
      </c>
      <c r="F2" s="26" t="inlineStr">
        <is>
          <t>Août</t>
        </is>
      </c>
      <c r="G2" s="26" t="inlineStr">
        <is>
          <t>Sept</t>
        </is>
      </c>
      <c r="H2" s="26" t="inlineStr">
        <is>
          <t>Oct</t>
        </is>
      </c>
      <c r="I2" s="26" t="inlineStr">
        <is>
          <t>Nov</t>
        </is>
      </c>
      <c r="J2" s="26" t="inlineStr">
        <is>
          <t>Déc</t>
        </is>
      </c>
      <c r="K2" s="26" t="inlineStr">
        <is>
          <t>Total / Moy</t>
        </is>
      </c>
    </row>
    <row r="3" ht="20" customHeight="1">
      <c r="A3" s="109" t="inlineStr">
        <is>
          <t>── WIFIAUDIT AI ──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</row>
    <row r="4" ht="20" customHeight="1">
      <c r="A4" s="110" t="inlineStr">
        <is>
          <t>Clients payants cumulés</t>
        </is>
      </c>
      <c r="B4" s="111" t="inlineStr">
        <is>
          <t>15 fin Q4</t>
        </is>
      </c>
      <c r="C4" s="112" t="n">
        <v>0</v>
      </c>
      <c r="D4" s="111" t="n">
        <v>1</v>
      </c>
      <c r="E4" s="111" t="n">
        <v>3</v>
      </c>
      <c r="F4" s="111" t="n">
        <v>5</v>
      </c>
      <c r="G4" s="111" t="n">
        <v>8</v>
      </c>
      <c r="H4" s="111" t="n">
        <v>10</v>
      </c>
      <c r="I4" s="111" t="n">
        <v>13</v>
      </c>
      <c r="J4" s="111" t="n">
        <v>15</v>
      </c>
      <c r="K4" s="113">
        <f>SUM(C4:J4)</f>
        <v/>
      </c>
    </row>
    <row r="5" ht="20" customHeight="1">
      <c r="A5" s="103" t="inlineStr">
        <is>
          <t>Nouveaux clients / mois</t>
        </is>
      </c>
      <c r="B5" s="24" t="inlineStr">
        <is>
          <t>2+/mois</t>
        </is>
      </c>
      <c r="C5" s="114" t="n">
        <v>0</v>
      </c>
      <c r="D5" s="24" t="n">
        <v>1</v>
      </c>
      <c r="E5" s="24" t="n">
        <v>2</v>
      </c>
      <c r="F5" s="24" t="n">
        <v>2</v>
      </c>
      <c r="G5" s="24" t="n">
        <v>3</v>
      </c>
      <c r="H5" s="24" t="n">
        <v>2</v>
      </c>
      <c r="I5" s="24" t="n">
        <v>3</v>
      </c>
      <c r="J5" s="24" t="n">
        <v>2</v>
      </c>
      <c r="K5" s="113">
        <f>SUM(C5:J5)</f>
        <v/>
      </c>
    </row>
    <row r="6" ht="20" customHeight="1">
      <c r="A6" s="110" t="inlineStr">
        <is>
          <t>Revenus WifiAudit (€)</t>
        </is>
      </c>
      <c r="B6" s="111" t="inlineStr">
        <is>
          <t>4485/mois</t>
        </is>
      </c>
      <c r="C6" s="112" t="n">
        <v>0</v>
      </c>
      <c r="D6" s="111" t="n">
        <v>299</v>
      </c>
      <c r="E6" s="111" t="n">
        <v>897</v>
      </c>
      <c r="F6" s="111" t="n">
        <v>1495</v>
      </c>
      <c r="G6" s="111" t="n">
        <v>2393</v>
      </c>
      <c r="H6" s="111" t="n">
        <v>2990</v>
      </c>
      <c r="I6" s="111" t="n">
        <v>3888</v>
      </c>
      <c r="J6" s="111" t="n">
        <v>4485</v>
      </c>
      <c r="K6" s="113">
        <f>SUM(C6:J6)</f>
        <v/>
      </c>
    </row>
    <row r="7" ht="20" customHeight="1">
      <c r="A7" s="103" t="inlineStr">
        <is>
          <t>Taux conversion waitlist %</t>
        </is>
      </c>
      <c r="B7" s="24" t="inlineStr">
        <is>
          <t>&gt; 30%</t>
        </is>
      </c>
      <c r="C7" s="114" t="n">
        <v>0</v>
      </c>
      <c r="D7" s="114" t="n">
        <v>0</v>
      </c>
      <c r="E7" s="24" t="n">
        <v>10</v>
      </c>
      <c r="F7" s="24" t="n">
        <v>15</v>
      </c>
      <c r="G7" s="24" t="n">
        <v>20</v>
      </c>
      <c r="H7" s="24" t="n">
        <v>25</v>
      </c>
      <c r="I7" s="24" t="n">
        <v>28</v>
      </c>
      <c r="J7" s="24" t="n">
        <v>30</v>
      </c>
      <c r="K7" s="113">
        <f>SUM(C7:J7)</f>
        <v/>
      </c>
    </row>
    <row r="8" ht="20" customHeight="1">
      <c r="A8" s="110" t="inlineStr">
        <is>
          <t>Beta users actifs</t>
        </is>
      </c>
      <c r="B8" s="111" t="inlineStr">
        <is>
          <t>10</t>
        </is>
      </c>
      <c r="C8" s="112" t="n">
        <v>0</v>
      </c>
      <c r="D8" s="112" t="n">
        <v>0</v>
      </c>
      <c r="E8" s="111" t="n">
        <v>5</v>
      </c>
      <c r="F8" s="111" t="n">
        <v>7</v>
      </c>
      <c r="G8" s="111" t="n">
        <v>8</v>
      </c>
      <c r="H8" s="111" t="n">
        <v>9</v>
      </c>
      <c r="I8" s="111" t="n">
        <v>10</v>
      </c>
      <c r="J8" s="111" t="n">
        <v>10</v>
      </c>
      <c r="K8" s="113">
        <f>SUM(C8:J8)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</row>
    <row r="10" ht="20" customHeight="1">
      <c r="A10" s="109" t="inlineStr">
        <is>
          <t>── ORNET CONSULTING ──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</row>
    <row r="11" ht="20" customHeight="1">
      <c r="A11" s="103" t="inlineStr">
        <is>
          <t>Appels découverte / mois</t>
        </is>
      </c>
      <c r="B11" s="24" t="inlineStr">
        <is>
          <t>4+/mois</t>
        </is>
      </c>
      <c r="C11" s="24" t="n">
        <v>2</v>
      </c>
      <c r="D11" s="24" t="n">
        <v>3</v>
      </c>
      <c r="E11" s="24" t="n">
        <v>4</v>
      </c>
      <c r="F11" s="24" t="n">
        <v>4</v>
      </c>
      <c r="G11" s="24" t="n">
        <v>4</v>
      </c>
      <c r="H11" s="24" t="n">
        <v>3</v>
      </c>
      <c r="I11" s="24" t="n">
        <v>4</v>
      </c>
      <c r="J11" s="24" t="n">
        <v>3</v>
      </c>
      <c r="K11" s="113">
        <f>SUM(C11:J11)</f>
        <v/>
      </c>
    </row>
    <row r="12" ht="20" customHeight="1">
      <c r="A12" s="110" t="inlineStr">
        <is>
          <t>Devis envoyés / mois</t>
        </is>
      </c>
      <c r="B12" s="111" t="inlineStr">
        <is>
          <t>3+/mois</t>
        </is>
      </c>
      <c r="C12" s="111" t="n">
        <v>1</v>
      </c>
      <c r="D12" s="111" t="n">
        <v>2</v>
      </c>
      <c r="E12" s="111" t="n">
        <v>3</v>
      </c>
      <c r="F12" s="111" t="n">
        <v>3</v>
      </c>
      <c r="G12" s="111" t="n">
        <v>3</v>
      </c>
      <c r="H12" s="111" t="n">
        <v>2</v>
      </c>
      <c r="I12" s="111" t="n">
        <v>3</v>
      </c>
      <c r="J12" s="111" t="n">
        <v>2</v>
      </c>
      <c r="K12" s="113">
        <f>SUM(C12:J12)</f>
        <v/>
      </c>
    </row>
    <row r="13" ht="20" customHeight="1">
      <c r="A13" s="103" t="inlineStr">
        <is>
          <t>Cas clients publiés (cumulés)</t>
        </is>
      </c>
      <c r="B13" s="24" t="inlineStr">
        <is>
          <t>6 fin Q4</t>
        </is>
      </c>
      <c r="C13" s="114" t="n">
        <v>0</v>
      </c>
      <c r="D13" s="24" t="n">
        <v>1</v>
      </c>
      <c r="E13" s="24" t="n">
        <v>2</v>
      </c>
      <c r="F13" s="24" t="n">
        <v>3</v>
      </c>
      <c r="G13" s="24" t="n">
        <v>4</v>
      </c>
      <c r="H13" s="24" t="n">
        <v>5</v>
      </c>
      <c r="I13" s="24" t="n">
        <v>6</v>
      </c>
      <c r="J13" s="24" t="n">
        <v>6</v>
      </c>
      <c r="K13" s="113">
        <f>SUM(C13:J13)</f>
        <v/>
      </c>
    </row>
    <row r="14" ht="20" customHeight="1">
      <c r="A14" s="110" t="inlineStr">
        <is>
          <t>Partenariats intégrateurs</t>
        </is>
      </c>
      <c r="B14" s="111" t="inlineStr">
        <is>
          <t>1 signé Q3</t>
        </is>
      </c>
      <c r="C14" s="112" t="n">
        <v>0</v>
      </c>
      <c r="D14" s="112" t="n">
        <v>0</v>
      </c>
      <c r="E14" s="112" t="n">
        <v>0</v>
      </c>
      <c r="F14" s="112" t="n">
        <v>0</v>
      </c>
      <c r="G14" s="111" t="n">
        <v>1</v>
      </c>
      <c r="H14" s="111" t="n">
        <v>1</v>
      </c>
      <c r="I14" s="111" t="n">
        <v>1</v>
      </c>
      <c r="J14" s="111" t="n">
        <v>1</v>
      </c>
      <c r="K14" s="113">
        <f>SUM(C14:J14)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</row>
    <row r="16" ht="20" customHeight="1">
      <c r="A16" s="109" t="inlineStr">
        <is>
          <t>── LINKEDIN &amp; CONTENU ──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 ht="20" customHeight="1">
      <c r="A17" s="103" t="inlineStr">
        <is>
          <t>Posts LinkedIn publiés</t>
        </is>
      </c>
      <c r="B17" s="24" t="inlineStr">
        <is>
          <t>8/mois</t>
        </is>
      </c>
      <c r="C17" s="24" t="n">
        <v>3</v>
      </c>
      <c r="D17" s="24" t="n">
        <v>8</v>
      </c>
      <c r="E17" s="24" t="n">
        <v>8</v>
      </c>
      <c r="F17" s="24" t="n">
        <v>4</v>
      </c>
      <c r="G17" s="24" t="n">
        <v>8</v>
      </c>
      <c r="H17" s="24" t="n">
        <v>8</v>
      </c>
      <c r="I17" s="24" t="n">
        <v>8</v>
      </c>
      <c r="J17" s="24" t="n">
        <v>8</v>
      </c>
      <c r="K17" s="113">
        <f>SUM(C17:J17)</f>
        <v/>
      </c>
    </row>
    <row r="18" ht="20" customHeight="1">
      <c r="A18" s="110" t="inlineStr">
        <is>
          <t>Abonnés LinkedIn</t>
        </is>
      </c>
      <c r="B18" s="111" t="inlineStr">
        <is>
          <t>700 fin Q4</t>
        </is>
      </c>
      <c r="C18" s="111" t="n">
        <v>150</v>
      </c>
      <c r="D18" s="111" t="n">
        <v>200</v>
      </c>
      <c r="E18" s="111" t="n">
        <v>280</v>
      </c>
      <c r="F18" s="111" t="n">
        <v>320</v>
      </c>
      <c r="G18" s="111" t="n">
        <v>400</v>
      </c>
      <c r="H18" s="111" t="n">
        <v>480</v>
      </c>
      <c r="I18" s="111" t="n">
        <v>570</v>
      </c>
      <c r="J18" s="111" t="n">
        <v>700</v>
      </c>
      <c r="K18" s="113">
        <f>SUM(C18:J18)</f>
        <v/>
      </c>
    </row>
    <row r="19" ht="20" customHeight="1">
      <c r="A19" s="103" t="inlineStr">
        <is>
          <t>Articles or-net.com (cumulés)</t>
        </is>
      </c>
      <c r="B19" s="24" t="inlineStr">
        <is>
          <t>12 fin Q4</t>
        </is>
      </c>
      <c r="C19" s="114" t="n">
        <v>0</v>
      </c>
      <c r="D19" s="24" t="n">
        <v>1</v>
      </c>
      <c r="E19" s="24" t="n">
        <v>3</v>
      </c>
      <c r="F19" s="24" t="n">
        <v>5</v>
      </c>
      <c r="G19" s="24" t="n">
        <v>7</v>
      </c>
      <c r="H19" s="24" t="n">
        <v>8</v>
      </c>
      <c r="I19" s="24" t="n">
        <v>10</v>
      </c>
      <c r="J19" s="24" t="n">
        <v>12</v>
      </c>
      <c r="K19" s="113">
        <f>SUM(C19:J19)</f>
        <v/>
      </c>
    </row>
    <row r="20" ht="20" customHeight="1">
      <c r="A20" s="110" t="inlineStr">
        <is>
          <t>Newsletter envoyée</t>
        </is>
      </c>
      <c r="B20" s="111" t="inlineStr">
        <is>
          <t>1/mois</t>
        </is>
      </c>
      <c r="C20" s="112" t="n">
        <v>0</v>
      </c>
      <c r="D20" s="111" t="n">
        <v>1</v>
      </c>
      <c r="E20" s="111" t="n">
        <v>1</v>
      </c>
      <c r="F20" s="111" t="n">
        <v>1</v>
      </c>
      <c r="G20" s="111" t="n">
        <v>1</v>
      </c>
      <c r="H20" s="111" t="n">
        <v>1</v>
      </c>
      <c r="I20" s="111" t="n">
        <v>1</v>
      </c>
      <c r="J20" s="111" t="n">
        <v>1</v>
      </c>
      <c r="K20" s="113">
        <f>SUM(C20:J20)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 ht="20" customHeight="1">
      <c r="A22" s="109" t="inlineStr">
        <is>
          <t>── FORMATION ──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</row>
    <row r="23" ht="20" customHeight="1">
      <c r="A23" s="103" t="inlineStr">
        <is>
          <t>Notebooks Python créés</t>
        </is>
      </c>
      <c r="B23" s="24" t="inlineStr">
        <is>
          <t>4+/mois</t>
        </is>
      </c>
      <c r="C23" s="24" t="n">
        <v>4</v>
      </c>
      <c r="D23" s="24" t="n">
        <v>4</v>
      </c>
      <c r="E23" s="24" t="n">
        <v>4</v>
      </c>
      <c r="F23" s="24" t="n">
        <v>2</v>
      </c>
      <c r="G23" s="24" t="n">
        <v>4</v>
      </c>
      <c r="H23" s="24" t="n">
        <v>4</v>
      </c>
      <c r="I23" s="24" t="n">
        <v>4</v>
      </c>
      <c r="J23" s="24" t="n">
        <v>4</v>
      </c>
      <c r="K23" s="113">
        <f>SUM(C23:J23)</f>
        <v/>
      </c>
    </row>
    <row r="24" ht="20" customHeight="1">
      <c r="A24" s="110" t="inlineStr">
        <is>
          <t>Labs EVE-NG SD-Access</t>
        </is>
      </c>
      <c r="B24" s="111" t="inlineStr">
        <is>
          <t>2/mois</t>
        </is>
      </c>
      <c r="C24" s="111" t="n">
        <v>2</v>
      </c>
      <c r="D24" s="111" t="n">
        <v>2</v>
      </c>
      <c r="E24" s="111" t="n">
        <v>2</v>
      </c>
      <c r="F24" s="111" t="n">
        <v>1</v>
      </c>
      <c r="G24" s="111" t="n">
        <v>2</v>
      </c>
      <c r="H24" s="111" t="n">
        <v>2</v>
      </c>
      <c r="I24" s="111" t="n">
        <v>2</v>
      </c>
      <c r="J24" s="111" t="n">
        <v>1</v>
      </c>
      <c r="K24" s="113">
        <f>SUM(C24:J24)</f>
        <v/>
      </c>
    </row>
    <row r="25" ht="20" customHeight="1">
      <c r="A25" s="103" t="inlineStr">
        <is>
          <t>Sessions formation Théo/Alegria</t>
        </is>
      </c>
      <c r="B25" s="24" t="inlineStr">
        <is>
          <t>4/mois</t>
        </is>
      </c>
      <c r="C25" s="24" t="n">
        <v>2</v>
      </c>
      <c r="D25" s="24" t="n">
        <v>4</v>
      </c>
      <c r="E25" s="24" t="n">
        <v>4</v>
      </c>
      <c r="F25" s="24" t="n">
        <v>4</v>
      </c>
      <c r="G25" s="24" t="n">
        <v>4</v>
      </c>
      <c r="H25" s="24" t="n">
        <v>4</v>
      </c>
      <c r="I25" s="24" t="n">
        <v>4</v>
      </c>
      <c r="J25" s="24" t="n">
        <v>4</v>
      </c>
      <c r="K25" s="113">
        <f>SUM(C25:J25)</f>
        <v/>
      </c>
    </row>
    <row r="26" ht="20" customHeight="1">
      <c r="A26" s="110" t="inlineStr">
        <is>
          <t>Score semaine moyen /10</t>
        </is>
      </c>
      <c r="B26" s="111" t="inlineStr">
        <is>
          <t>&gt; 7</t>
        </is>
      </c>
      <c r="C26" s="112" t="n">
        <v>0</v>
      </c>
      <c r="D26" s="112" t="n">
        <v>0</v>
      </c>
      <c r="E26" s="112" t="n">
        <v>0</v>
      </c>
      <c r="F26" s="112" t="n">
        <v>0</v>
      </c>
      <c r="G26" s="112" t="n">
        <v>0</v>
      </c>
      <c r="H26" s="112" t="n">
        <v>0</v>
      </c>
      <c r="I26" s="112" t="n">
        <v>0</v>
      </c>
      <c r="J26" s="112" t="n">
        <v>0</v>
      </c>
      <c r="K26" s="113">
        <f>SUM(C26:J26)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</row>
    <row r="28" ht="20" customHeight="1">
      <c r="A28" s="109" t="inlineStr">
        <is>
          <t>── SANTÉ &amp; ÉQUILIBRE ──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</row>
    <row r="29" ht="20" customHeight="1">
      <c r="A29" s="103" t="inlineStr">
        <is>
          <t>Jours sport réalisés</t>
        </is>
      </c>
      <c r="B29" s="24" t="inlineStr">
        <is>
          <t>25+/mois</t>
        </is>
      </c>
      <c r="C29" s="24" t="n">
        <v>15</v>
      </c>
      <c r="D29" s="24" t="n">
        <v>25</v>
      </c>
      <c r="E29" s="24" t="n">
        <v>25</v>
      </c>
      <c r="F29" s="24" t="n">
        <v>20</v>
      </c>
      <c r="G29" s="24" t="n">
        <v>25</v>
      </c>
      <c r="H29" s="24" t="n">
        <v>25</v>
      </c>
      <c r="I29" s="24" t="n">
        <v>25</v>
      </c>
      <c r="J29" s="24" t="n">
        <v>25</v>
      </c>
      <c r="K29" s="113">
        <f>SUM(C29:J29)</f>
        <v/>
      </c>
    </row>
    <row r="30" ht="20" customHeight="1">
      <c r="A30" s="110" t="inlineStr">
        <is>
          <t>Morning Agent jours actifs</t>
        </is>
      </c>
      <c r="B30" s="111" t="inlineStr">
        <is>
          <t>30j/mois</t>
        </is>
      </c>
      <c r="C30" s="111" t="n">
        <v>15</v>
      </c>
      <c r="D30" s="111" t="n">
        <v>30</v>
      </c>
      <c r="E30" s="111" t="n">
        <v>31</v>
      </c>
      <c r="F30" s="111" t="n">
        <v>31</v>
      </c>
      <c r="G30" s="111" t="n">
        <v>30</v>
      </c>
      <c r="H30" s="111" t="n">
        <v>31</v>
      </c>
      <c r="I30" s="111" t="n">
        <v>30</v>
      </c>
      <c r="J30" s="111" t="n">
        <v>31</v>
      </c>
      <c r="K30" s="113">
        <f>SUM(C30:J30)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</row>
  </sheetData>
  <mergeCells count="6">
    <mergeCell ref="A1:M1"/>
    <mergeCell ref="A22:M22"/>
    <mergeCell ref="A3:M3"/>
    <mergeCell ref="A16:M16"/>
    <mergeCell ref="A10:M10"/>
    <mergeCell ref="A28:M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10" customWidth="1" min="4" max="4"/>
    <col width="18" customWidth="1" min="5" max="5"/>
    <col width="8" customWidth="1" min="6" max="6"/>
    <col width="11" customWidth="1" min="7" max="7"/>
    <col width="11" customWidth="1" min="8" max="8"/>
    <col width="11" customWidth="1" min="9" max="9"/>
    <col width="20" customWidth="1" min="10" max="10"/>
  </cols>
  <sheetData>
    <row r="1" ht="30" customHeight="1">
      <c r="A1" s="115" t="inlineStr">
        <is>
          <t>🏃  TRACKER SPORT &amp; HABITUDES QUOTIDIENNES</t>
        </is>
      </c>
    </row>
    <row r="2" ht="22" customHeight="1">
      <c r="A2" s="116" t="inlineStr">
        <is>
          <t>Date</t>
        </is>
      </c>
      <c r="B2" s="116" t="inlineStr">
        <is>
          <t>Jour</t>
        </is>
      </c>
      <c r="C2" s="116" t="inlineStr">
        <is>
          <t>S#</t>
        </is>
      </c>
      <c r="D2" s="117" t="inlineStr">
        <is>
          <t>🏃 Sport ✓</t>
        </is>
      </c>
      <c r="E2" s="117" t="inlineStr">
        <is>
          <t>Type sport</t>
        </is>
      </c>
      <c r="F2" s="117" t="inlineStr">
        <is>
          <t>⏱️ Durée</t>
        </is>
      </c>
      <c r="G2" s="117" t="inlineStr">
        <is>
          <t>📚 Matin ✓</t>
        </is>
      </c>
      <c r="H2" s="117" t="inlineStr">
        <is>
          <t>🔧 Soir1 ✓</t>
        </is>
      </c>
      <c r="I2" s="117" t="inlineStr">
        <is>
          <t>🚀 Soir2 ✓</t>
        </is>
      </c>
      <c r="J2" s="117" t="inlineStr">
        <is>
          <t>Note journée</t>
        </is>
      </c>
    </row>
    <row r="3" ht="20" customHeight="1">
      <c r="A3" s="106" t="inlineStr">
        <is>
          <t>12/05/26</t>
        </is>
      </c>
      <c r="B3" s="18" t="inlineStr">
        <is>
          <t>Mar</t>
        </is>
      </c>
      <c r="C3" s="18" t="n">
        <v>1</v>
      </c>
      <c r="D3" s="118" t="n"/>
      <c r="E3" s="108" t="n"/>
      <c r="F3" s="108" t="n"/>
      <c r="G3" s="118" t="n"/>
      <c r="H3" s="118" t="n"/>
      <c r="I3" s="118" t="n"/>
      <c r="J3" s="108" t="n"/>
    </row>
    <row r="4" ht="20" customHeight="1">
      <c r="A4" s="119" t="inlineStr">
        <is>
          <t>13/05/26</t>
        </is>
      </c>
      <c r="B4" s="120" t="inlineStr">
        <is>
          <t>Mer</t>
        </is>
      </c>
      <c r="C4" s="120" t="n">
        <v>1</v>
      </c>
      <c r="D4" s="121" t="n"/>
      <c r="E4" s="122" t="n"/>
      <c r="F4" s="122" t="n"/>
      <c r="G4" s="121" t="n"/>
      <c r="H4" s="121" t="n"/>
      <c r="I4" s="121" t="n"/>
      <c r="J4" s="122" t="n"/>
    </row>
    <row r="5" ht="20" customHeight="1">
      <c r="A5" s="106" t="inlineStr">
        <is>
          <t>14/05/26</t>
        </is>
      </c>
      <c r="B5" s="18" t="inlineStr">
        <is>
          <t>Jeu</t>
        </is>
      </c>
      <c r="C5" s="18" t="n">
        <v>1</v>
      </c>
      <c r="D5" s="118" t="n"/>
      <c r="E5" s="108" t="n"/>
      <c r="F5" s="108" t="n"/>
      <c r="G5" s="118" t="n"/>
      <c r="H5" s="118" t="n"/>
      <c r="I5" s="118" t="n"/>
      <c r="J5" s="108" t="n"/>
    </row>
    <row r="6" ht="20" customHeight="1">
      <c r="A6" s="119" t="inlineStr">
        <is>
          <t>15/05/26</t>
        </is>
      </c>
      <c r="B6" s="120" t="inlineStr">
        <is>
          <t>Ven</t>
        </is>
      </c>
      <c r="C6" s="120" t="n">
        <v>1</v>
      </c>
      <c r="D6" s="121" t="n"/>
      <c r="E6" s="122" t="n"/>
      <c r="F6" s="122" t="n"/>
      <c r="G6" s="121" t="n"/>
      <c r="H6" s="121" t="n"/>
      <c r="I6" s="121" t="n"/>
      <c r="J6" s="122" t="n"/>
    </row>
    <row r="7" ht="20" customHeight="1">
      <c r="A7" s="106" t="inlineStr">
        <is>
          <t>16/05/26</t>
        </is>
      </c>
      <c r="B7" s="18" t="inlineStr">
        <is>
          <t>Sam</t>
        </is>
      </c>
      <c r="C7" s="18" t="n">
        <v>1</v>
      </c>
      <c r="D7" s="118" t="n"/>
      <c r="E7" s="108" t="n"/>
      <c r="F7" s="108" t="n"/>
      <c r="G7" s="118" t="n"/>
      <c r="H7" s="118" t="n"/>
      <c r="I7" s="118" t="n"/>
      <c r="J7" s="108" t="n"/>
    </row>
    <row r="8" ht="20" customHeight="1">
      <c r="A8" s="119" t="inlineStr">
        <is>
          <t>17/05/26</t>
        </is>
      </c>
      <c r="B8" s="120" t="inlineStr">
        <is>
          <t>Dim</t>
        </is>
      </c>
      <c r="C8" s="120" t="n">
        <v>1</v>
      </c>
      <c r="D8" s="121" t="n"/>
      <c r="E8" s="122" t="n"/>
      <c r="F8" s="122" t="n"/>
      <c r="G8" s="121" t="n"/>
      <c r="H8" s="121" t="n"/>
      <c r="I8" s="121" t="n"/>
      <c r="J8" s="122" t="n"/>
    </row>
    <row r="9" ht="20" customHeight="1">
      <c r="A9" s="106" t="inlineStr">
        <is>
          <t>18/05/26</t>
        </is>
      </c>
      <c r="B9" s="18" t="inlineStr">
        <is>
          <t>Lun</t>
        </is>
      </c>
      <c r="C9" s="18" t="n">
        <v>2</v>
      </c>
      <c r="D9" s="118" t="n"/>
      <c r="E9" s="108" t="n"/>
      <c r="F9" s="108" t="n"/>
      <c r="G9" s="118" t="n"/>
      <c r="H9" s="118" t="n"/>
      <c r="I9" s="118" t="n"/>
      <c r="J9" s="108" t="n"/>
    </row>
    <row r="10" ht="20" customHeight="1">
      <c r="A10" s="119" t="inlineStr">
        <is>
          <t>19/05/26</t>
        </is>
      </c>
      <c r="B10" s="120" t="inlineStr">
        <is>
          <t>Mar</t>
        </is>
      </c>
      <c r="C10" s="120" t="n">
        <v>2</v>
      </c>
      <c r="D10" s="121" t="n"/>
      <c r="E10" s="122" t="n"/>
      <c r="F10" s="122" t="n"/>
      <c r="G10" s="121" t="n"/>
      <c r="H10" s="121" t="n"/>
      <c r="I10" s="121" t="n"/>
      <c r="J10" s="122" t="n"/>
    </row>
    <row r="11" ht="20" customHeight="1">
      <c r="A11" s="106" t="inlineStr">
        <is>
          <t>20/05/26</t>
        </is>
      </c>
      <c r="B11" s="18" t="inlineStr">
        <is>
          <t>Mer</t>
        </is>
      </c>
      <c r="C11" s="18" t="n">
        <v>2</v>
      </c>
      <c r="D11" s="118" t="n"/>
      <c r="E11" s="108" t="n"/>
      <c r="F11" s="108" t="n"/>
      <c r="G11" s="118" t="n"/>
      <c r="H11" s="118" t="n"/>
      <c r="I11" s="118" t="n"/>
      <c r="J11" s="108" t="n"/>
    </row>
    <row r="12" ht="20" customHeight="1">
      <c r="A12" s="119" t="inlineStr">
        <is>
          <t>21/05/26</t>
        </is>
      </c>
      <c r="B12" s="120" t="inlineStr">
        <is>
          <t>Jeu</t>
        </is>
      </c>
      <c r="C12" s="120" t="n">
        <v>2</v>
      </c>
      <c r="D12" s="121" t="n"/>
      <c r="E12" s="122" t="n"/>
      <c r="F12" s="122" t="n"/>
      <c r="G12" s="121" t="n"/>
      <c r="H12" s="121" t="n"/>
      <c r="I12" s="121" t="n"/>
      <c r="J12" s="122" t="n"/>
    </row>
    <row r="13" ht="20" customHeight="1">
      <c r="A13" s="106" t="inlineStr">
        <is>
          <t>22/05/26</t>
        </is>
      </c>
      <c r="B13" s="18" t="inlineStr">
        <is>
          <t>Ven</t>
        </is>
      </c>
      <c r="C13" s="18" t="n">
        <v>2</v>
      </c>
      <c r="D13" s="118" t="n"/>
      <c r="E13" s="108" t="n"/>
      <c r="F13" s="108" t="n"/>
      <c r="G13" s="118" t="n"/>
      <c r="H13" s="118" t="n"/>
      <c r="I13" s="118" t="n"/>
      <c r="J13" s="108" t="n"/>
    </row>
    <row r="14" ht="20" customHeight="1">
      <c r="A14" s="119" t="inlineStr">
        <is>
          <t>23/05/26</t>
        </is>
      </c>
      <c r="B14" s="120" t="inlineStr">
        <is>
          <t>Sam</t>
        </is>
      </c>
      <c r="C14" s="120" t="n">
        <v>2</v>
      </c>
      <c r="D14" s="121" t="n"/>
      <c r="E14" s="122" t="n"/>
      <c r="F14" s="122" t="n"/>
      <c r="G14" s="121" t="n"/>
      <c r="H14" s="121" t="n"/>
      <c r="I14" s="121" t="n"/>
      <c r="J14" s="122" t="n"/>
    </row>
    <row r="15" ht="20" customHeight="1">
      <c r="A15" s="106" t="inlineStr">
        <is>
          <t>24/05/26</t>
        </is>
      </c>
      <c r="B15" s="18" t="inlineStr">
        <is>
          <t>Dim</t>
        </is>
      </c>
      <c r="C15" s="18" t="n">
        <v>2</v>
      </c>
      <c r="D15" s="118" t="n"/>
      <c r="E15" s="108" t="n"/>
      <c r="F15" s="108" t="n"/>
      <c r="G15" s="118" t="n"/>
      <c r="H15" s="118" t="n"/>
      <c r="I15" s="118" t="n"/>
      <c r="J15" s="108" t="n"/>
    </row>
    <row r="16" ht="20" customHeight="1">
      <c r="A16" s="119" t="inlineStr">
        <is>
          <t>25/05/26</t>
        </is>
      </c>
      <c r="B16" s="120" t="inlineStr">
        <is>
          <t>Lun</t>
        </is>
      </c>
      <c r="C16" s="120" t="n">
        <v>3</v>
      </c>
      <c r="D16" s="121" t="n"/>
      <c r="E16" s="122" t="n"/>
      <c r="F16" s="122" t="n"/>
      <c r="G16" s="121" t="n"/>
      <c r="H16" s="121" t="n"/>
      <c r="I16" s="121" t="n"/>
      <c r="J16" s="122" t="n"/>
    </row>
    <row r="17" ht="20" customHeight="1">
      <c r="A17" s="106" t="inlineStr">
        <is>
          <t>26/05/26</t>
        </is>
      </c>
      <c r="B17" s="18" t="inlineStr">
        <is>
          <t>Mar</t>
        </is>
      </c>
      <c r="C17" s="18" t="n">
        <v>3</v>
      </c>
      <c r="D17" s="118" t="n"/>
      <c r="E17" s="108" t="n"/>
      <c r="F17" s="108" t="n"/>
      <c r="G17" s="118" t="n"/>
      <c r="H17" s="118" t="n"/>
      <c r="I17" s="118" t="n"/>
      <c r="J17" s="108" t="n"/>
    </row>
    <row r="18" ht="20" customHeight="1">
      <c r="A18" s="119" t="inlineStr">
        <is>
          <t>27/05/26</t>
        </is>
      </c>
      <c r="B18" s="120" t="inlineStr">
        <is>
          <t>Mer</t>
        </is>
      </c>
      <c r="C18" s="120" t="n">
        <v>3</v>
      </c>
      <c r="D18" s="121" t="n"/>
      <c r="E18" s="122" t="n"/>
      <c r="F18" s="122" t="n"/>
      <c r="G18" s="121" t="n"/>
      <c r="H18" s="121" t="n"/>
      <c r="I18" s="121" t="n"/>
      <c r="J18" s="122" t="n"/>
    </row>
    <row r="19" ht="20" customHeight="1">
      <c r="A19" s="106" t="inlineStr">
        <is>
          <t>28/05/26</t>
        </is>
      </c>
      <c r="B19" s="18" t="inlineStr">
        <is>
          <t>Jeu</t>
        </is>
      </c>
      <c r="C19" s="18" t="n">
        <v>3</v>
      </c>
      <c r="D19" s="118" t="n"/>
      <c r="E19" s="108" t="n"/>
      <c r="F19" s="108" t="n"/>
      <c r="G19" s="118" t="n"/>
      <c r="H19" s="118" t="n"/>
      <c r="I19" s="118" t="n"/>
      <c r="J19" s="108" t="n"/>
    </row>
    <row r="20" ht="20" customHeight="1">
      <c r="A20" s="119" t="inlineStr">
        <is>
          <t>29/05/26</t>
        </is>
      </c>
      <c r="B20" s="120" t="inlineStr">
        <is>
          <t>Ven</t>
        </is>
      </c>
      <c r="C20" s="120" t="n">
        <v>3</v>
      </c>
      <c r="D20" s="121" t="n"/>
      <c r="E20" s="122" t="n"/>
      <c r="F20" s="122" t="n"/>
      <c r="G20" s="121" t="n"/>
      <c r="H20" s="121" t="n"/>
      <c r="I20" s="121" t="n"/>
      <c r="J20" s="122" t="n"/>
    </row>
    <row r="21" ht="20" customHeight="1">
      <c r="A21" s="106" t="inlineStr">
        <is>
          <t>30/05/26</t>
        </is>
      </c>
      <c r="B21" s="18" t="inlineStr">
        <is>
          <t>Sam</t>
        </is>
      </c>
      <c r="C21" s="18" t="n">
        <v>3</v>
      </c>
      <c r="D21" s="118" t="n"/>
      <c r="E21" s="108" t="n"/>
      <c r="F21" s="108" t="n"/>
      <c r="G21" s="118" t="n"/>
      <c r="H21" s="118" t="n"/>
      <c r="I21" s="118" t="n"/>
      <c r="J21" s="108" t="n"/>
    </row>
    <row r="22" ht="20" customHeight="1">
      <c r="A22" s="119" t="inlineStr">
        <is>
          <t>31/05/26</t>
        </is>
      </c>
      <c r="B22" s="120" t="inlineStr">
        <is>
          <t>Dim</t>
        </is>
      </c>
      <c r="C22" s="120" t="n">
        <v>3</v>
      </c>
      <c r="D22" s="121" t="n"/>
      <c r="E22" s="122" t="n"/>
      <c r="F22" s="122" t="n"/>
      <c r="G22" s="121" t="n"/>
      <c r="H22" s="121" t="n"/>
      <c r="I22" s="121" t="n"/>
      <c r="J22" s="122" t="n"/>
    </row>
    <row r="23" ht="20" customHeight="1">
      <c r="A23" s="106" t="inlineStr">
        <is>
          <t>01/06/26</t>
        </is>
      </c>
      <c r="B23" s="18" t="inlineStr">
        <is>
          <t>Lun</t>
        </is>
      </c>
      <c r="C23" s="18" t="n">
        <v>4</v>
      </c>
      <c r="D23" s="118" t="n"/>
      <c r="E23" s="108" t="n"/>
      <c r="F23" s="108" t="n"/>
      <c r="G23" s="118" t="n"/>
      <c r="H23" s="118" t="n"/>
      <c r="I23" s="118" t="n"/>
      <c r="J23" s="108" t="n"/>
    </row>
    <row r="24" ht="20" customHeight="1">
      <c r="A24" s="119" t="inlineStr">
        <is>
          <t>02/06/26</t>
        </is>
      </c>
      <c r="B24" s="120" t="inlineStr">
        <is>
          <t>Mar</t>
        </is>
      </c>
      <c r="C24" s="120" t="n">
        <v>4</v>
      </c>
      <c r="D24" s="121" t="n"/>
      <c r="E24" s="122" t="n"/>
      <c r="F24" s="122" t="n"/>
      <c r="G24" s="121" t="n"/>
      <c r="H24" s="121" t="n"/>
      <c r="I24" s="121" t="n"/>
      <c r="J24" s="122" t="n"/>
    </row>
    <row r="25" ht="20" customHeight="1">
      <c r="A25" s="106" t="inlineStr">
        <is>
          <t>03/06/26</t>
        </is>
      </c>
      <c r="B25" s="18" t="inlineStr">
        <is>
          <t>Mer</t>
        </is>
      </c>
      <c r="C25" s="18" t="n">
        <v>4</v>
      </c>
      <c r="D25" s="118" t="n"/>
      <c r="E25" s="108" t="n"/>
      <c r="F25" s="108" t="n"/>
      <c r="G25" s="118" t="n"/>
      <c r="H25" s="118" t="n"/>
      <c r="I25" s="118" t="n"/>
      <c r="J25" s="108" t="n"/>
    </row>
    <row r="26" ht="20" customHeight="1">
      <c r="A26" s="119" t="inlineStr">
        <is>
          <t>04/06/26</t>
        </is>
      </c>
      <c r="B26" s="120" t="inlineStr">
        <is>
          <t>Jeu</t>
        </is>
      </c>
      <c r="C26" s="120" t="n">
        <v>4</v>
      </c>
      <c r="D26" s="121" t="n"/>
      <c r="E26" s="122" t="n"/>
      <c r="F26" s="122" t="n"/>
      <c r="G26" s="121" t="n"/>
      <c r="H26" s="121" t="n"/>
      <c r="I26" s="121" t="n"/>
      <c r="J26" s="122" t="n"/>
    </row>
    <row r="27" ht="20" customHeight="1">
      <c r="A27" s="106" t="inlineStr">
        <is>
          <t>05/06/26</t>
        </is>
      </c>
      <c r="B27" s="18" t="inlineStr">
        <is>
          <t>Ven</t>
        </is>
      </c>
      <c r="C27" s="18" t="n">
        <v>4</v>
      </c>
      <c r="D27" s="118" t="n"/>
      <c r="E27" s="108" t="n"/>
      <c r="F27" s="108" t="n"/>
      <c r="G27" s="118" t="n"/>
      <c r="H27" s="118" t="n"/>
      <c r="I27" s="118" t="n"/>
      <c r="J27" s="108" t="n"/>
    </row>
    <row r="28" ht="20" customHeight="1">
      <c r="A28" s="119" t="inlineStr">
        <is>
          <t>06/06/26</t>
        </is>
      </c>
      <c r="B28" s="120" t="inlineStr">
        <is>
          <t>Sam</t>
        </is>
      </c>
      <c r="C28" s="120" t="n">
        <v>4</v>
      </c>
      <c r="D28" s="121" t="n"/>
      <c r="E28" s="122" t="n"/>
      <c r="F28" s="122" t="n"/>
      <c r="G28" s="121" t="n"/>
      <c r="H28" s="121" t="n"/>
      <c r="I28" s="121" t="n"/>
      <c r="J28" s="122" t="n"/>
    </row>
    <row r="29" ht="20" customHeight="1">
      <c r="A29" s="106" t="inlineStr">
        <is>
          <t>07/06/26</t>
        </is>
      </c>
      <c r="B29" s="18" t="inlineStr">
        <is>
          <t>Dim</t>
        </is>
      </c>
      <c r="C29" s="18" t="n">
        <v>4</v>
      </c>
      <c r="D29" s="118" t="n"/>
      <c r="E29" s="108" t="n"/>
      <c r="F29" s="108" t="n"/>
      <c r="G29" s="118" t="n"/>
      <c r="H29" s="118" t="n"/>
      <c r="I29" s="118" t="n"/>
      <c r="J29" s="108" t="n"/>
    </row>
    <row r="30" ht="20" customHeight="1">
      <c r="A30" s="119" t="inlineStr">
        <is>
          <t>08/06/26</t>
        </is>
      </c>
      <c r="B30" s="120" t="inlineStr">
        <is>
          <t>Lun</t>
        </is>
      </c>
      <c r="C30" s="120" t="n">
        <v>5</v>
      </c>
      <c r="D30" s="121" t="n"/>
      <c r="E30" s="122" t="n"/>
      <c r="F30" s="122" t="n"/>
      <c r="G30" s="121" t="n"/>
      <c r="H30" s="121" t="n"/>
      <c r="I30" s="121" t="n"/>
      <c r="J30" s="122" t="n"/>
    </row>
    <row r="31" ht="20" customHeight="1">
      <c r="A31" s="106" t="inlineStr">
        <is>
          <t>09/06/26</t>
        </is>
      </c>
      <c r="B31" s="18" t="inlineStr">
        <is>
          <t>Mar</t>
        </is>
      </c>
      <c r="C31" s="18" t="n">
        <v>5</v>
      </c>
      <c r="D31" s="118" t="n"/>
      <c r="E31" s="108" t="n"/>
      <c r="F31" s="108" t="n"/>
      <c r="G31" s="118" t="n"/>
      <c r="H31" s="118" t="n"/>
      <c r="I31" s="118" t="n"/>
      <c r="J31" s="108" t="n"/>
    </row>
    <row r="32" ht="20" customHeight="1">
      <c r="A32" s="119" t="inlineStr">
        <is>
          <t>10/06/26</t>
        </is>
      </c>
      <c r="B32" s="120" t="inlineStr">
        <is>
          <t>Mer</t>
        </is>
      </c>
      <c r="C32" s="120" t="n">
        <v>5</v>
      </c>
      <c r="D32" s="121" t="n"/>
      <c r="E32" s="122" t="n"/>
      <c r="F32" s="122" t="n"/>
      <c r="G32" s="121" t="n"/>
      <c r="H32" s="121" t="n"/>
      <c r="I32" s="121" t="n"/>
      <c r="J32" s="122" t="n"/>
    </row>
    <row r="33" ht="20" customHeight="1">
      <c r="A33" s="106" t="inlineStr">
        <is>
          <t>11/06/26</t>
        </is>
      </c>
      <c r="B33" s="18" t="inlineStr">
        <is>
          <t>Jeu</t>
        </is>
      </c>
      <c r="C33" s="18" t="n">
        <v>5</v>
      </c>
      <c r="D33" s="118" t="n"/>
      <c r="E33" s="108" t="n"/>
      <c r="F33" s="108" t="n"/>
      <c r="G33" s="118" t="n"/>
      <c r="H33" s="118" t="n"/>
      <c r="I33" s="118" t="n"/>
      <c r="J33" s="108" t="n"/>
    </row>
    <row r="34" ht="20" customHeight="1">
      <c r="A34" s="119" t="inlineStr">
        <is>
          <t>12/06/26</t>
        </is>
      </c>
      <c r="B34" s="120" t="inlineStr">
        <is>
          <t>Ven</t>
        </is>
      </c>
      <c r="C34" s="120" t="n">
        <v>5</v>
      </c>
      <c r="D34" s="121" t="n"/>
      <c r="E34" s="122" t="n"/>
      <c r="F34" s="122" t="n"/>
      <c r="G34" s="121" t="n"/>
      <c r="H34" s="121" t="n"/>
      <c r="I34" s="121" t="n"/>
      <c r="J34" s="122" t="n"/>
    </row>
    <row r="35" ht="20" customHeight="1">
      <c r="A35" s="106" t="inlineStr">
        <is>
          <t>13/06/26</t>
        </is>
      </c>
      <c r="B35" s="18" t="inlineStr">
        <is>
          <t>Sam</t>
        </is>
      </c>
      <c r="C35" s="18" t="n">
        <v>5</v>
      </c>
      <c r="D35" s="118" t="n"/>
      <c r="E35" s="108" t="n"/>
      <c r="F35" s="108" t="n"/>
      <c r="G35" s="118" t="n"/>
      <c r="H35" s="118" t="n"/>
      <c r="I35" s="118" t="n"/>
      <c r="J35" s="108" t="n"/>
    </row>
    <row r="36" ht="20" customHeight="1">
      <c r="A36" s="119" t="inlineStr">
        <is>
          <t>14/06/26</t>
        </is>
      </c>
      <c r="B36" s="120" t="inlineStr">
        <is>
          <t>Dim</t>
        </is>
      </c>
      <c r="C36" s="120" t="n">
        <v>5</v>
      </c>
      <c r="D36" s="121" t="n"/>
      <c r="E36" s="122" t="n"/>
      <c r="F36" s="122" t="n"/>
      <c r="G36" s="121" t="n"/>
      <c r="H36" s="121" t="n"/>
      <c r="I36" s="121" t="n"/>
      <c r="J36" s="122" t="n"/>
    </row>
    <row r="37" ht="20" customHeight="1">
      <c r="A37" s="106" t="inlineStr">
        <is>
          <t>15/06/26</t>
        </is>
      </c>
      <c r="B37" s="18" t="inlineStr">
        <is>
          <t>Lun</t>
        </is>
      </c>
      <c r="C37" s="18" t="n">
        <v>6</v>
      </c>
      <c r="D37" s="118" t="n"/>
      <c r="E37" s="108" t="n"/>
      <c r="F37" s="108" t="n"/>
      <c r="G37" s="118" t="n"/>
      <c r="H37" s="118" t="n"/>
      <c r="I37" s="118" t="n"/>
      <c r="J37" s="108" t="n"/>
    </row>
    <row r="38" ht="20" customHeight="1">
      <c r="A38" s="119" t="inlineStr">
        <is>
          <t>16/06/26</t>
        </is>
      </c>
      <c r="B38" s="120" t="inlineStr">
        <is>
          <t>Mar</t>
        </is>
      </c>
      <c r="C38" s="120" t="n">
        <v>6</v>
      </c>
      <c r="D38" s="121" t="n"/>
      <c r="E38" s="122" t="n"/>
      <c r="F38" s="122" t="n"/>
      <c r="G38" s="121" t="n"/>
      <c r="H38" s="121" t="n"/>
      <c r="I38" s="121" t="n"/>
      <c r="J38" s="122" t="n"/>
    </row>
    <row r="39" ht="20" customHeight="1">
      <c r="A39" s="106" t="inlineStr">
        <is>
          <t>17/06/26</t>
        </is>
      </c>
      <c r="B39" s="18" t="inlineStr">
        <is>
          <t>Mer</t>
        </is>
      </c>
      <c r="C39" s="18" t="n">
        <v>6</v>
      </c>
      <c r="D39" s="118" t="n"/>
      <c r="E39" s="108" t="n"/>
      <c r="F39" s="108" t="n"/>
      <c r="G39" s="118" t="n"/>
      <c r="H39" s="118" t="n"/>
      <c r="I39" s="118" t="n"/>
      <c r="J39" s="108" t="n"/>
    </row>
    <row r="40" ht="20" customHeight="1">
      <c r="A40" s="119" t="inlineStr">
        <is>
          <t>18/06/26</t>
        </is>
      </c>
      <c r="B40" s="120" t="inlineStr">
        <is>
          <t>Jeu</t>
        </is>
      </c>
      <c r="C40" s="120" t="n">
        <v>6</v>
      </c>
      <c r="D40" s="121" t="n"/>
      <c r="E40" s="122" t="n"/>
      <c r="F40" s="122" t="n"/>
      <c r="G40" s="121" t="n"/>
      <c r="H40" s="121" t="n"/>
      <c r="I40" s="121" t="n"/>
      <c r="J40" s="122" t="n"/>
    </row>
    <row r="41" ht="20" customHeight="1">
      <c r="A41" s="106" t="inlineStr">
        <is>
          <t>19/06/26</t>
        </is>
      </c>
      <c r="B41" s="18" t="inlineStr">
        <is>
          <t>Ven</t>
        </is>
      </c>
      <c r="C41" s="18" t="n">
        <v>6</v>
      </c>
      <c r="D41" s="118" t="n"/>
      <c r="E41" s="108" t="n"/>
      <c r="F41" s="108" t="n"/>
      <c r="G41" s="118" t="n"/>
      <c r="H41" s="118" t="n"/>
      <c r="I41" s="118" t="n"/>
      <c r="J41" s="108" t="n"/>
    </row>
    <row r="42" ht="20" customHeight="1">
      <c r="A42" s="119" t="inlineStr">
        <is>
          <t>20/06/26</t>
        </is>
      </c>
      <c r="B42" s="120" t="inlineStr">
        <is>
          <t>Sam</t>
        </is>
      </c>
      <c r="C42" s="120" t="n">
        <v>6</v>
      </c>
      <c r="D42" s="121" t="n"/>
      <c r="E42" s="122" t="n"/>
      <c r="F42" s="122" t="n"/>
      <c r="G42" s="121" t="n"/>
      <c r="H42" s="121" t="n"/>
      <c r="I42" s="121" t="n"/>
      <c r="J42" s="122" t="n"/>
    </row>
    <row r="43" ht="20" customHeight="1">
      <c r="A43" s="106" t="inlineStr">
        <is>
          <t>21/06/26</t>
        </is>
      </c>
      <c r="B43" s="18" t="inlineStr">
        <is>
          <t>Dim</t>
        </is>
      </c>
      <c r="C43" s="18" t="n">
        <v>6</v>
      </c>
      <c r="D43" s="118" t="n"/>
      <c r="E43" s="108" t="n"/>
      <c r="F43" s="108" t="n"/>
      <c r="G43" s="118" t="n"/>
      <c r="H43" s="118" t="n"/>
      <c r="I43" s="118" t="n"/>
      <c r="J43" s="108" t="n"/>
    </row>
    <row r="44" ht="20" customHeight="1">
      <c r="A44" s="119" t="inlineStr">
        <is>
          <t>22/06/26</t>
        </is>
      </c>
      <c r="B44" s="120" t="inlineStr">
        <is>
          <t>Lun</t>
        </is>
      </c>
      <c r="C44" s="120" t="n">
        <v>7</v>
      </c>
      <c r="D44" s="121" t="n"/>
      <c r="E44" s="122" t="n"/>
      <c r="F44" s="122" t="n"/>
      <c r="G44" s="121" t="n"/>
      <c r="H44" s="121" t="n"/>
      <c r="I44" s="121" t="n"/>
      <c r="J44" s="122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</row>
  </sheetData>
  <mergeCells count="1">
    <mergeCell ref="A1:J1"/>
  </mergeCells>
  <conditionalFormatting sqref="A3:J45">
    <cfRule type="expression" priority="1" dxfId="2">
      <formula>$D3="✓"</formula>
    </cfRule>
  </conditionalFormatting>
  <dataValidations count="1">
    <dataValidation sqref="D3:D45 G3:G45 H3:H45 I3:I45" showDropDown="0" showInputMessage="0" showErrorMessage="0" allowBlank="1" type="list">
      <formula1>"✓,✗"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2026-05-11T16:38:09Z</dcterms:created>
  <dcterms:modified xmlns:dcterms="http://purl.org/dc/terms/" xmlns:xsi="http://www.w3.org/2001/XMLSchema-instance" xsi:type="dcterms:W3CDTF">2026-05-11T16:38:09Z</dcterms:modified>
</cp:coreProperties>
</file>